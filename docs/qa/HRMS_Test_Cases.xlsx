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Summary" sheetId="2" state="visible" r:id="rId4"/>
    <sheet name="Test Cases" sheetId="3" state="visible" r:id="rId5"/>
  </sheets>
  <definedNames>
    <definedName function="false" hidden="true" localSheetId="2" name="_xlnm._FilterDatabase" vbProcedure="false">'Test Cases'!$A$1:$Q$287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<sst xmlns="http://schemas.openxmlformats.org/spreadsheetml/2006/main" count="4022" uniqueCount="1703">
  <si>
    <t xml:space="preserve">HRMS Portal - QA Test Case Sheet</t>
  </si>
  <si>
    <t xml:space="preserve">Scope: HRMS only (auth, employees, org setup, attendance, WFH, leave, comp-off, payroll). LMS/course features are not covered.</t>
  </si>
  <si>
    <t xml:space="preserve">Built from the code of rahul52us/hrms-portal-new-backend and rahul52us/hrms-portal-new-frontend (rules, validation messages and existing unit tests).</t>
  </si>
  <si>
    <t xml:space="preserve">How to use</t>
  </si>
  <si>
    <t xml:space="preserve">1. Go to the 'Test Cases' sheet. Cells with a yellow header (Status, Actual Result, Tester, Date, Bug ID) are the ones you fill in. Everything else is the test design.</t>
  </si>
  <si>
    <t xml:space="preserve">2. Follow 'Steps' using 'Test Data', then compare with 'Expected Result'. Set Status to Pass / Fail / Blocked / N/A.</t>
  </si>
  <si>
    <t xml:space="preserve">3. On Fail, write what actually happened in 'Actual Result' and add the bug id.</t>
  </si>
  <si>
    <t xml:space="preserve">4. The 'Summary' sheet updates automatically from the Status column.</t>
  </si>
  <si>
    <t xml:space="preserve">5. Numbers marked '(per fixture)' or based on a policy value (e.g. WFH limit 2/week) need the same configuration in your test environment.</t>
  </si>
  <si>
    <t xml:space="preserve">Legend</t>
  </si>
  <si>
    <t xml:space="preserve">Type: Positive = happy path | Negative = should be refused | Validation = field rules | Boundary = limit values | Edge = unusual situation | Permission = role/access | UI = screen behaviour</t>
  </si>
  <si>
    <t xml:space="preserve">Priority: P0 = release blocker | P1 = high | P2 = medium | P3 = low</t>
  </si>
  <si>
    <t xml:space="preserve">Source: file the case was derived from (backend/frontend path). Check the code there if an expected result is unclear.</t>
  </si>
  <si>
    <t xml:space="preserve">Example of a filled row</t>
  </si>
  <si>
    <t xml:space="preserve">TC ID</t>
  </si>
  <si>
    <t xml:space="preserve">Scenario</t>
  </si>
  <si>
    <t xml:space="preserve">Status</t>
  </si>
  <si>
    <t xml:space="preserve">Actual Result</t>
  </si>
  <si>
    <t xml:space="preserve">Tester</t>
  </si>
  <si>
    <t xml:space="preserve">Date</t>
  </si>
  <si>
    <t xml:space="preserve">Bug ID</t>
  </si>
  <si>
    <t xml:space="preserve">AUTH-003</t>
  </si>
  <si>
    <t xml:space="preserve">Wrong password</t>
  </si>
  <si>
    <t xml:space="preserve">Fail</t>
  </si>
  <si>
    <t xml:space="preserve">Login succeeded with a wrong password</t>
  </si>
  <si>
    <t xml:space="preserve">Priya</t>
  </si>
  <si>
    <t xml:space="preserve">2026-10-22</t>
  </si>
  <si>
    <t xml:space="preserve">BUG-101</t>
  </si>
  <si>
    <t xml:space="preserve">Status note: rows marked Pass by 'Claude (auto)' were verified by running the backend logic only (calculators, validators, rules). Screens, API calls and database flows could not be run in that environment and are still 'Not Run'.</t>
  </si>
  <si>
    <t xml:space="preserve">Execution summary</t>
  </si>
  <si>
    <t xml:space="preserve">Module</t>
  </si>
  <si>
    <t xml:space="preserve">Total</t>
  </si>
  <si>
    <t xml:space="preserve">Pass</t>
  </si>
  <si>
    <t xml:space="preserve">Blocked</t>
  </si>
  <si>
    <t xml:space="preserve">N/A</t>
  </si>
  <si>
    <t xml:space="preserve">Not Run</t>
  </si>
  <si>
    <t xml:space="preserve">% Executed</t>
  </si>
  <si>
    <t xml:space="preserve">P0 cases</t>
  </si>
  <si>
    <t xml:space="preserve">P0 not passed</t>
  </si>
  <si>
    <t xml:space="preserve">Authentication</t>
  </si>
  <si>
    <t xml:space="preserve">Employees &amp; Users</t>
  </si>
  <si>
    <t xml:space="preserve">Employee Profile</t>
  </si>
  <si>
    <t xml:space="preserve">Roles &amp; Permissions</t>
  </si>
  <si>
    <t xml:space="preserve">Organization Setup</t>
  </si>
  <si>
    <t xml:space="preserve">Attendance</t>
  </si>
  <si>
    <t xml:space="preserve">Remote Work (WFH)</t>
  </si>
  <si>
    <t xml:space="preserve">Calendar &amp; Workforce Policy</t>
  </si>
  <si>
    <t xml:space="preserve">Leave</t>
  </si>
  <si>
    <t xml:space="preserve">Comp-Off</t>
  </si>
  <si>
    <t xml:space="preserve">Payroll - Setup</t>
  </si>
  <si>
    <t xml:space="preserve">Payroll - Calculation</t>
  </si>
  <si>
    <t xml:space="preserve">Payroll - Run Lifecycle</t>
  </si>
  <si>
    <t xml:space="preserve">Payroll - Payslips &amp; Reports</t>
  </si>
  <si>
    <t xml:space="preserve">Counts update from the Status column of 'Test Cases'. Priority: P0 release blocker.</t>
  </si>
  <si>
    <t xml:space="preserve">Sub-module</t>
  </si>
  <si>
    <t xml:space="preserve">Type</t>
  </si>
  <si>
    <t xml:space="preserve">Priority</t>
  </si>
  <si>
    <t xml:space="preserve">Role</t>
  </si>
  <si>
    <t xml:space="preserve">Preconditions</t>
  </si>
  <si>
    <t xml:space="preserve">Steps</t>
  </si>
  <si>
    <t xml:space="preserve">Test Data</t>
  </si>
  <si>
    <t xml:space="preserve">Expected Result</t>
  </si>
  <si>
    <t xml:space="preserve">Source</t>
  </si>
  <si>
    <t xml:space="preserve">AUTH-001</t>
  </si>
  <si>
    <t xml:space="preserve">Login</t>
  </si>
  <si>
    <t xml:space="preserve">Login with valid email and password</t>
  </si>
  <si>
    <t xml:space="preserve">Positive</t>
  </si>
  <si>
    <t xml:space="preserve">P0</t>
  </si>
  <si>
    <t xml:space="preserve">Employee</t>
  </si>
  <si>
    <t xml:space="preserve">Active user exists (password set, enabled)</t>
  </si>
  <si>
    <t xml:space="preserve">1. Open /login
2. Enter email
3. Enter password
4. Click Sign In</t>
  </si>
  <si>
    <t xml:space="preserve">admin@company.com / Test@1234</t>
  </si>
  <si>
    <t xml:space="preserve">User is logged in and lands on the dashboard; token/session is created.</t>
  </si>
  <si>
    <t xml:space="preserve">backend src/services/auth/utils/validation.ts</t>
  </si>
  <si>
    <t xml:space="preserve">AUTH-002</t>
  </si>
  <si>
    <t xml:space="preserve">Email is trimmed and lower-cased before login</t>
  </si>
  <si>
    <t xml:space="preserve">P2</t>
  </si>
  <si>
    <t xml:space="preserve">Active user exists</t>
  </si>
  <si>
    <t xml:space="preserve">1. Open /login
2. Enter email with spaces and capitals
3. Enter correct password
4. Sign In</t>
  </si>
  <si>
    <t xml:space="preserve">'  Admin@Company.COM ' / Test@1234</t>
  </si>
  <si>
    <t xml:space="preserve">Login succeeds; username is treated as admin@company.com.</t>
  </si>
  <si>
    <t xml:space="preserve">Negative</t>
  </si>
  <si>
    <t xml:space="preserve">Anonymous</t>
  </si>
  <si>
    <t xml:space="preserve">1. Open /login
2. Enter valid email and wrong password
3. Sign In</t>
  </si>
  <si>
    <t xml:space="preserve">admin@company.com / Wrong@1234</t>
  </si>
  <si>
    <t xml:space="preserve">Login rejected with an invalid-credentials error; no session created.</t>
  </si>
  <si>
    <t xml:space="preserve">backend src/services/auth/auth.service.ts</t>
  </si>
  <si>
    <t xml:space="preserve">AUTH-004</t>
  </si>
  <si>
    <t xml:space="preserve">Unregistered email</t>
  </si>
  <si>
    <t xml:space="preserve">P1</t>
  </si>
  <si>
    <t xml:space="preserve">Email not in system</t>
  </si>
  <si>
    <t xml:space="preserve">1. Open /login
2. Enter unknown email and any password
3. Sign In</t>
  </si>
  <si>
    <t xml:space="preserve">nobody@nowhere.com / Test@1234</t>
  </si>
  <si>
    <t xml:space="preserve">Login rejected; message does not reveal whether the email exists.</t>
  </si>
  <si>
    <t xml:space="preserve">AUTH-005</t>
  </si>
  <si>
    <t xml:space="preserve">Empty email</t>
  </si>
  <si>
    <t xml:space="preserve">Validation</t>
  </si>
  <si>
    <t xml:space="preserve">-</t>
  </si>
  <si>
    <t xml:space="preserve">1. Open /login
2. Leave email empty
3. Enter password
4. Sign In</t>
  </si>
  <si>
    <t xml:space="preserve">email='' / Test@1234</t>
  </si>
  <si>
    <t xml:space="preserve">Error 'Username is required'; request not accepted.</t>
  </si>
  <si>
    <t xml:space="preserve">AUTH-006</t>
  </si>
  <si>
    <t xml:space="preserve">Empty password</t>
  </si>
  <si>
    <t xml:space="preserve">1. Open /login
2. Enter email
3. Leave password empty
4. Sign In</t>
  </si>
  <si>
    <t xml:space="preserve">admin@company.com / ''</t>
  </si>
  <si>
    <t xml:space="preserve">Error 'Password is required'.</t>
  </si>
  <si>
    <t xml:space="preserve">AUTH-007</t>
  </si>
  <si>
    <t xml:space="preserve">Username that is not an email</t>
  </si>
  <si>
    <t xml:space="preserve">1. Open /login
2. Enter text without @
3. Enter password
4. Sign In</t>
  </si>
  <si>
    <t xml:space="preserve">adminuser / Test@1234</t>
  </si>
  <si>
    <t xml:space="preserve">Error 'Username must be a valid email address'.</t>
  </si>
  <si>
    <t xml:space="preserve">AUTH-008</t>
  </si>
  <si>
    <t xml:space="preserve">Password shorter than 8 characters</t>
  </si>
  <si>
    <t xml:space="preserve">1. Open /login
2. Enter valid email
3. Enter 7-char password
4. Sign In</t>
  </si>
  <si>
    <t xml:space="preserve">admin@company.com / Ab1cdef</t>
  </si>
  <si>
    <t xml:space="preserve">Request rejected by validation (minimum 8 characters).</t>
  </si>
  <si>
    <t xml:space="preserve">AUTH-009</t>
  </si>
  <si>
    <t xml:space="preserve">Password longer than 128 characters</t>
  </si>
  <si>
    <t xml:space="preserve">Edge</t>
  </si>
  <si>
    <t xml:space="preserve">P3</t>
  </si>
  <si>
    <t xml:space="preserve">1. Open /login
2. Enter valid email
3. Paste a 129-character password
4. Sign In</t>
  </si>
  <si>
    <t xml:space="preserve">129 x 'A1b'</t>
  </si>
  <si>
    <t xml:space="preserve">Request rejected by validation (maximum 128 characters).</t>
  </si>
  <si>
    <t xml:space="preserve">AUTH-010</t>
  </si>
  <si>
    <t xml:space="preserve">Disabled (inactive) user cannot log in</t>
  </si>
  <si>
    <t xml:space="preserve">User exists with password but is disabled by admin</t>
  </si>
  <si>
    <t xml:space="preserve">1. Open /login
2. Enter the disabled user's credentials
3. Sign In</t>
  </si>
  <si>
    <t xml:space="preserve">disabled.user@company.com / Test@1234</t>
  </si>
  <si>
    <t xml:space="preserve">Login is blocked; user account status is INACTIVE so canUserLogin is false.</t>
  </si>
  <si>
    <t xml:space="preserve">backend src/services/auth/utils/userAccountStatus.ts</t>
  </si>
  <si>
    <t xml:space="preserve">Executed probe: Behaved as expected. Logic checked by running the backend code; UI / API / database flow NOT tested.</t>
  </si>
  <si>
    <t xml:space="preserve">Claude (auto)</t>
  </si>
  <si>
    <t xml:space="preserve">2026-10-21</t>
  </si>
  <si>
    <t xml:space="preserve">AUTH-011</t>
  </si>
  <si>
    <t xml:space="preserve">Invited user who has not set a password cannot log in</t>
  </si>
  <si>
    <t xml:space="preserve">User created by admin; password not yet set (status PENDING)</t>
  </si>
  <si>
    <t xml:space="preserve">1. Open /login
2. Enter the invited user's email and any password
3. Sign In</t>
  </si>
  <si>
    <t xml:space="preserve">new.hire@company.com / Test@1234</t>
  </si>
  <si>
    <t xml:space="preserve">Login is blocked; account is PENDING until a password is set via invite link.</t>
  </si>
  <si>
    <t xml:space="preserve">AUTH-012</t>
  </si>
  <si>
    <t xml:space="preserve">Deleted user cannot log in</t>
  </si>
  <si>
    <t xml:space="preserve">User is soft-deleted (deletedAt set)</t>
  </si>
  <si>
    <t xml:space="preserve">1. Open /login
2. Enter the deleted user's credentials
3. Sign In</t>
  </si>
  <si>
    <t xml:space="preserve">deleted.user@company.com / Test@1234</t>
  </si>
  <si>
    <t xml:space="preserve">Login is blocked; DELETED status wins over every other state.</t>
  </si>
  <si>
    <t xml:space="preserve">AUTH-013</t>
  </si>
  <si>
    <t xml:space="preserve">Login blocked when the user's company is inactive</t>
  </si>
  <si>
    <t xml:space="preserve">Company is deactivated by Super Admin</t>
  </si>
  <si>
    <t xml:space="preserve">1. Deactivate the company
2. Login as an employee of that company</t>
  </si>
  <si>
    <t xml:space="preserve">employee@inactive-co.com / Test@1234</t>
  </si>
  <si>
    <t xml:space="preserve">Action blocked with message '&lt;Company name&gt; is inactive.' (or 'This company is inactive.').</t>
  </si>
  <si>
    <t xml:space="preserve">backend src/services/company/utils/activityGuards.ts</t>
  </si>
  <si>
    <t xml:space="preserve">AUTH-014</t>
  </si>
  <si>
    <t xml:space="preserve">Show/hide password toggle</t>
  </si>
  <si>
    <t xml:space="preserve">UI</t>
  </si>
  <si>
    <t xml:space="preserve">1. Open /login
2. Type a password
3. Click the eye icon</t>
  </si>
  <si>
    <t xml:space="preserve">any</t>
  </si>
  <si>
    <t xml:space="preserve">Password toggles between masked and visible text.</t>
  </si>
  <si>
    <t xml:space="preserve">frontend app/(authentication)/login/page.tsx</t>
  </si>
  <si>
    <t xml:space="preserve">AUTH-015</t>
  </si>
  <si>
    <t xml:space="preserve">Protected page without a session redirects to login</t>
  </si>
  <si>
    <t xml:space="preserve">Permission</t>
  </si>
  <si>
    <t xml:space="preserve">Not logged in</t>
  </si>
  <si>
    <t xml:space="preserve">1. Open /dashboard directly in a new browser profile</t>
  </si>
  <si>
    <t xml:space="preserve">User is redirected to /login; no dashboard data shown.</t>
  </si>
  <si>
    <t xml:space="preserve">frontend app/dashboard</t>
  </si>
  <si>
    <t xml:space="preserve">AUTH-016</t>
  </si>
  <si>
    <t xml:space="preserve">Session</t>
  </si>
  <si>
    <t xml:space="preserve">Logout clears session</t>
  </si>
  <si>
    <t xml:space="preserve">Logged in</t>
  </si>
  <si>
    <t xml:space="preserve">1. Click profile menu
2. Click Logout
3. Press browser Back</t>
  </si>
  <si>
    <t xml:space="preserve">User returns to login; Back button does not reopen protected pages.</t>
  </si>
  <si>
    <t xml:space="preserve">AUTH-017</t>
  </si>
  <si>
    <t xml:space="preserve">Expired/invalid token is rejected by API</t>
  </si>
  <si>
    <t xml:space="preserve">1. Tamper with or expire the stored token
2. Refresh /dashboard</t>
  </si>
  <si>
    <t xml:space="preserve">token='abc.def.ghi'</t>
  </si>
  <si>
    <t xml:space="preserve">API returns unauthorized; user is sent to login.</t>
  </si>
  <si>
    <t xml:space="preserve">backend src/modules/config/authenticate.ts</t>
  </si>
  <si>
    <t xml:space="preserve">AUTH-018</t>
  </si>
  <si>
    <t xml:space="preserve">Forgot Password</t>
  </si>
  <si>
    <t xml:space="preserve">Request reset link with registered email</t>
  </si>
  <si>
    <t xml:space="preserve">1. Open /forgot-password
2. Enter registered email
3. Submit</t>
  </si>
  <si>
    <t xml:space="preserve">admin@company.com</t>
  </si>
  <si>
    <t xml:space="preserve">Success message shown; a reset email with a secure link is sent.</t>
  </si>
  <si>
    <t xml:space="preserve">AUTH-019</t>
  </si>
  <si>
    <t xml:space="preserve">Request reset with invalid email format</t>
  </si>
  <si>
    <t xml:space="preserve">1. Open /forgot-password
2. Enter 'abc'
3. Submit</t>
  </si>
  <si>
    <t xml:space="preserve">abc</t>
  </si>
  <si>
    <t xml:space="preserve">Error 'Username should be a valid email address'.</t>
  </si>
  <si>
    <t xml:space="preserve">AUTH-020</t>
  </si>
  <si>
    <t xml:space="preserve">Request reset with empty email</t>
  </si>
  <si>
    <t xml:space="preserve">1. Open /forgot-password
2. Leave empty
3. Submit</t>
  </si>
  <si>
    <t xml:space="preserve">''</t>
  </si>
  <si>
    <t xml:space="preserve">Error 'Username is required'.</t>
  </si>
  <si>
    <t xml:space="preserve">AUTH-021</t>
  </si>
  <si>
    <t xml:space="preserve">Reset Password</t>
  </si>
  <si>
    <t xml:space="preserve">Reset password with valid token and strong password</t>
  </si>
  <si>
    <t xml:space="preserve">Valid reset link received by email</t>
  </si>
  <si>
    <t xml:space="preserve">1. Open the reset link
2. Enter a new strong password
3. Submit
4. Login with the new password</t>
  </si>
  <si>
    <t xml:space="preserve">NewPass@123</t>
  </si>
  <si>
    <t xml:space="preserve">Password changes; old password stops working; login works with the new one.</t>
  </si>
  <si>
    <t xml:space="preserve">AUTH-022</t>
  </si>
  <si>
    <t xml:space="preserve">Reset with expired/invalid token</t>
  </si>
  <si>
    <t xml:space="preserve">Expired or random token</t>
  </si>
  <si>
    <t xml:space="preserve">1. Open /reset-password/&lt;bad-token&gt;
2. Enter strong password
3. Submit</t>
  </si>
  <si>
    <t xml:space="preserve">token=invalid</t>
  </si>
  <si>
    <t xml:space="preserve">Reset rejected with an invalid/expired token error.</t>
  </si>
  <si>
    <t xml:space="preserve">AUTH-023</t>
  </si>
  <si>
    <t xml:space="preserve">Reset link cannot be reused</t>
  </si>
  <si>
    <t xml:space="preserve">Reset already completed once</t>
  </si>
  <si>
    <t xml:space="preserve">1. Use the same link again
2. Submit a new password</t>
  </si>
  <si>
    <t xml:space="preserve">Second attempt is rejected.</t>
  </si>
  <si>
    <t xml:space="preserve">AUTH-024</t>
  </si>
  <si>
    <t xml:space="preserve">Password Rules</t>
  </si>
  <si>
    <t xml:space="preserve">Weak password rejected (7 characters)</t>
  </si>
  <si>
    <t xml:space="preserve">Boundary</t>
  </si>
  <si>
    <t xml:space="preserve">Valid reset token</t>
  </si>
  <si>
    <t xml:space="preserve">1. Open the reset page
2. Enter 'Pass123'
3. Submit</t>
  </si>
  <si>
    <t xml:space="preserve">Pass123</t>
  </si>
  <si>
    <t xml:space="preserve">Password must contain at least 8 characters, including one uppercase letter, one lowercase letter, and one digit.</t>
  </si>
  <si>
    <t xml:space="preserve">AUTH-025</t>
  </si>
  <si>
    <t xml:space="preserve">Weak password rejected (no uppercase letter)</t>
  </si>
  <si>
    <t xml:space="preserve">1. Open the reset page
2. Enter 'password1'
3. Submit</t>
  </si>
  <si>
    <t xml:space="preserve">password1</t>
  </si>
  <si>
    <t xml:space="preserve">AUTH-026</t>
  </si>
  <si>
    <t xml:space="preserve">Weak password rejected (no lowercase letter)</t>
  </si>
  <si>
    <t xml:space="preserve">1. Open the reset page
2. Enter 'PASSWORD1'
3. Submit</t>
  </si>
  <si>
    <t xml:space="preserve">PASSWORD1</t>
  </si>
  <si>
    <t xml:space="preserve">AUTH-027</t>
  </si>
  <si>
    <t xml:space="preserve">Weak password rejected (no digit)</t>
  </si>
  <si>
    <t xml:space="preserve">1. Open the reset page
2. Enter 'Password'
3. Submit</t>
  </si>
  <si>
    <t xml:space="preserve">Password</t>
  </si>
  <si>
    <t xml:space="preserve">AUTH-028</t>
  </si>
  <si>
    <t xml:space="preserve">Exactly 8 characters with upper, lower and digit is accepted</t>
  </si>
  <si>
    <t xml:space="preserve">1. Open the reset page
2. Enter 'Abcdef1x'
3. Submit</t>
  </si>
  <si>
    <t xml:space="preserve">Abcdef1x</t>
  </si>
  <si>
    <t xml:space="preserve">Password is accepted.</t>
  </si>
  <si>
    <t xml:space="preserve">AUTH-029</t>
  </si>
  <si>
    <t xml:space="preserve">Set Password</t>
  </si>
  <si>
    <t xml:space="preserve">Invited user sets password from invite link</t>
  </si>
  <si>
    <t xml:space="preserve">Admin created the user; invite email received</t>
  </si>
  <si>
    <t xml:space="preserve">1. Open /set-password link
2. Enter strong password
3. Submit
4. Login</t>
  </si>
  <si>
    <t xml:space="preserve">Welcome@123</t>
  </si>
  <si>
    <t xml:space="preserve">Status changes PENDING -&gt; ACTIVE; user can log in.</t>
  </si>
  <si>
    <t xml:space="preserve">AUTH-030</t>
  </si>
  <si>
    <t xml:space="preserve">Set password with weak password</t>
  </si>
  <si>
    <t xml:space="preserve">Invite link available</t>
  </si>
  <si>
    <t xml:space="preserve">1. Open /set-password link
2. Enter 'abc'
3. Submit</t>
  </si>
  <si>
    <t xml:space="preserve">Rejected with password-strength message.</t>
  </si>
  <si>
    <t xml:space="preserve">AUTH-031</t>
  </si>
  <si>
    <t xml:space="preserve">Change Password</t>
  </si>
  <si>
    <t xml:space="preserve">Change password with correct old password</t>
  </si>
  <si>
    <t xml:space="preserve">1. Open Profile
2. Open Change Password
3. Enter old and new strong password
4. Save</t>
  </si>
  <si>
    <t xml:space="preserve">Old@1234 -&gt; New@12345</t>
  </si>
  <si>
    <t xml:space="preserve">Password updated; login with the new password works.</t>
  </si>
  <si>
    <t xml:space="preserve">AUTH-032</t>
  </si>
  <si>
    <t xml:space="preserve">Change password with wrong old password</t>
  </si>
  <si>
    <t xml:space="preserve">1. Open Change Password
2. Enter incorrect old password and a new strong password
3. Save</t>
  </si>
  <si>
    <t xml:space="preserve">Wrong@1234 -&gt; New@12345</t>
  </si>
  <si>
    <t xml:space="preserve">Request rejected; password unchanged.</t>
  </si>
  <si>
    <t xml:space="preserve">AUTH-033</t>
  </si>
  <si>
    <t xml:space="preserve">New password fails strength rule</t>
  </si>
  <si>
    <t xml:space="preserve">1. Open Change Password
2. Enter correct old and weak new password
3. Save</t>
  </si>
  <si>
    <t xml:space="preserve">newpassword</t>
  </si>
  <si>
    <t xml:space="preserve">AUTH-034</t>
  </si>
  <si>
    <t xml:space="preserve">Registration</t>
  </si>
  <si>
    <t xml:space="preserve">Registration page without invite</t>
  </si>
  <si>
    <t xml:space="preserve">No invite token</t>
  </si>
  <si>
    <t xml:space="preserve">1. Open /register</t>
  </si>
  <si>
    <t xml:space="preserve">Page shows 'Invite Required' and does not allow self sign-up.</t>
  </si>
  <si>
    <t xml:space="preserve">frontend app/(authentication)/register/page.tsx</t>
  </si>
  <si>
    <t xml:space="preserve">AUTH-035</t>
  </si>
  <si>
    <t xml:space="preserve">Bootstrap</t>
  </si>
  <si>
    <t xml:space="preserve">Create first Super Admin with valid data</t>
  </si>
  <si>
    <t xml:space="preserve">No superadmin exists; setupKey configured if required</t>
  </si>
  <si>
    <t xml:space="preserve">1. Call POST /bootstrap/superadmin with valid body</t>
  </si>
  <si>
    <t xml:space="preserve">name='Ra', email=owner@co.com, phone=9876543210, strong password</t>
  </si>
  <si>
    <t xml:space="preserve">Super Admin is created.</t>
  </si>
  <si>
    <t xml:space="preserve">AUTH-036</t>
  </si>
  <si>
    <t xml:space="preserve">Bootstrap rejects bad phone</t>
  </si>
  <si>
    <t xml:space="preserve">1. Call bootstrap with 9-digit phone</t>
  </si>
  <si>
    <t xml:space="preserve">phone=987654321</t>
  </si>
  <si>
    <t xml:space="preserve">Error 'Phone must be a valid 10-digit number'.</t>
  </si>
  <si>
    <t xml:space="preserve">AUTH-037</t>
  </si>
  <si>
    <t xml:space="preserve">Bootstrap name boundary (1 vs 2 characters)</t>
  </si>
  <si>
    <t xml:space="preserve">1. Call bootstrap with name 'A'
2. Repeat with 'Al'</t>
  </si>
  <si>
    <t xml:space="preserve">'A' then 'Al'</t>
  </si>
  <si>
    <t xml:space="preserve">'A' is rejected (min 2); 'Al' is accepted.</t>
  </si>
  <si>
    <t xml:space="preserve">AUTH-038</t>
  </si>
  <si>
    <t xml:space="preserve">Company Registration</t>
  </si>
  <si>
    <t xml:space="preserve">Admin registration needs company name and location</t>
  </si>
  <si>
    <t xml:space="preserve">Verified email token available</t>
  </si>
  <si>
    <t xml:space="preserve">1. Submit admin registration without company name
2. Submit without city/state/country/pincode</t>
  </si>
  <si>
    <t xml:space="preserve">Errors: 'Company name is required', 'City is required', 'State is required', 'Country is required', 'Pincode is required'.</t>
  </si>
  <si>
    <t xml:space="preserve">AUTH-039</t>
  </si>
  <si>
    <t xml:space="preserve">Latitude/longitude bounds</t>
  </si>
  <si>
    <t xml:space="preserve">1. Submit location with lat 91
2. lat -91
3. lng 181
4. lat 90, lng 180</t>
  </si>
  <si>
    <t xml:space="preserve">lat/lng pairs above</t>
  </si>
  <si>
    <t xml:space="preserve">Out-of-range values rejected; lat 90 / lng 180 accepted.</t>
  </si>
  <si>
    <t xml:space="preserve">AUTH-040</t>
  </si>
  <si>
    <t xml:space="preserve">Phone must be 10 digits</t>
  </si>
  <si>
    <t xml:space="preserve">1. Submit registration with phone '98765abcde'</t>
  </si>
  <si>
    <t xml:space="preserve">98765abcde</t>
  </si>
  <si>
    <t xml:space="preserve">EMP-001</t>
  </si>
  <si>
    <t xml:space="preserve">Create Employee</t>
  </si>
  <si>
    <t xml:space="preserve">Create employee with all required fields</t>
  </si>
  <si>
    <t xml:space="preserve">HR</t>
  </si>
  <si>
    <t xml:space="preserve">HR has create_users permission</t>
  </si>
  <si>
    <t xml:space="preserve">1. Dashboard &gt; Users &gt; Add
2. Fill name, email, role, department, location, employee number
3. Save</t>
  </si>
  <si>
    <t xml:space="preserve">Name 'Asha Rao', asha@co.com, role Employee</t>
  </si>
  <si>
    <t xml:space="preserve">Employee created in PENDING status; invite/set-password email sent; appears in list.</t>
  </si>
  <si>
    <t xml:space="preserve">backend src/routing/users.routing.ts</t>
  </si>
  <si>
    <t xml:space="preserve">EMP-002</t>
  </si>
  <si>
    <t xml:space="preserve">Duplicate email</t>
  </si>
  <si>
    <t xml:space="preserve">asha@co.com already exists</t>
  </si>
  <si>
    <t xml:space="preserve">1. Add employee with the same email
2. Save</t>
  </si>
  <si>
    <t xml:space="preserve">asha@co.com</t>
  </si>
  <si>
    <t xml:space="preserve">Error 'Email already exists (asha@co.com)'; no new record.</t>
  </si>
  <si>
    <t xml:space="preserve">EMP-003</t>
  </si>
  <si>
    <t xml:space="preserve">Name length boundaries (3 to 30)</t>
  </si>
  <si>
    <t xml:space="preserve">1. Add user with 2-char name
2. 3-char name
3. 30-char name
4. 31-char name</t>
  </si>
  <si>
    <t xml:space="preserve">'Al','Ali', 30 chars, 31 chars</t>
  </si>
  <si>
    <t xml:space="preserve">2 and 31 rejected ('Name must have a minimum length of 3' / 'should not exceed 30'); 3 and 30 accepted.</t>
  </si>
  <si>
    <t xml:space="preserve">EMP-004</t>
  </si>
  <si>
    <t xml:space="preserve">Company is mandatory for non-admin roles</t>
  </si>
  <si>
    <t xml:space="preserve">Super Admin</t>
  </si>
  <si>
    <t xml:space="preserve">1. Create a manager without selecting company</t>
  </si>
  <si>
    <t xml:space="preserve">company=''</t>
  </si>
  <si>
    <t xml:space="preserve">Error 'Please select the company'.</t>
  </si>
  <si>
    <t xml:space="preserve">EMP-005</t>
  </si>
  <si>
    <t xml:space="preserve">Role limited to allowed values</t>
  </si>
  <si>
    <t xml:space="preserve">1. Create user via API with role 'ceo'</t>
  </si>
  <si>
    <t xml:space="preserve">role=ceo</t>
  </si>
  <si>
    <t xml:space="preserve">Rejected; allowed roles are user, admin, superadmin, manager, customer, support.</t>
  </si>
  <si>
    <t xml:space="preserve">EMP-006</t>
  </si>
  <si>
    <t xml:space="preserve">HR cannot create HR users without permission</t>
  </si>
  <si>
    <t xml:space="preserve">HR lacks create_hr_users</t>
  </si>
  <si>
    <t xml:space="preserve">1. Try to add a user with role HR</t>
  </si>
  <si>
    <t xml:space="preserve">role=hr</t>
  </si>
  <si>
    <t xml:space="preserve">Blocked/hidden; only roles permitted by create_hr_users can be created.</t>
  </si>
  <si>
    <t xml:space="preserve">backend src/services/permissions/permission.utils.ts</t>
  </si>
  <si>
    <t xml:space="preserve">EMP-007</t>
  </si>
  <si>
    <t xml:space="preserve">Employee role cannot open user management</t>
  </si>
  <si>
    <t xml:space="preserve">Logged in as Employee</t>
  </si>
  <si>
    <t xml:space="preserve">1. Open /dashboard/users directly</t>
  </si>
  <si>
    <t xml:space="preserve">Access denied / redirected; no user list returned by API.</t>
  </si>
  <si>
    <t xml:space="preserve">frontend app/dashboard/users</t>
  </si>
  <si>
    <t xml:space="preserve">EMP-008</t>
  </si>
  <si>
    <t xml:space="preserve">Employee Code</t>
  </si>
  <si>
    <t xml:space="preserve">Company code is normalized to upper case</t>
  </si>
  <si>
    <t xml:space="preserve">Company Admin</t>
  </si>
  <si>
    <t xml:space="preserve">1. Set company code ' acme '
2. Save</t>
  </si>
  <si>
    <t xml:space="preserve">' acme '</t>
  </si>
  <si>
    <t xml:space="preserve">Saved as ACME.</t>
  </si>
  <si>
    <t xml:space="preserve">backend src/services/employeeCode/employeeCode.utils.ts</t>
  </si>
  <si>
    <t xml:space="preserve">EMP-009</t>
  </si>
  <si>
    <t xml:space="preserve">Company code length 2 to 20</t>
  </si>
  <si>
    <t xml:space="preserve">1. Try 'A'
2. 'AB'
3. 20 chars
4. 21 chars</t>
  </si>
  <si>
    <t xml:space="preserve">A / AB / 20 / 21 chars</t>
  </si>
  <si>
    <t xml:space="preserve">'A' and 21 chars rejected; 'AB' and 20 chars accepted.</t>
  </si>
  <si>
    <t xml:space="preserve">EMP-010</t>
  </si>
  <si>
    <t xml:space="preserve">Company code allows only letters, digits and single hyphens</t>
  </si>
  <si>
    <t xml:space="preserve">1. Try 'AC ME'
2. 'ACME-'
3. 'AC--ME'
4. 'AC-ME'</t>
  </si>
  <si>
    <t xml:space="preserve">as listed</t>
  </si>
  <si>
    <t xml:space="preserve">First three rejected; 'AC-ME' accepted.</t>
  </si>
  <si>
    <t xml:space="preserve">EMP-011</t>
  </si>
  <si>
    <t xml:space="preserve">Employee number max length 40</t>
  </si>
  <si>
    <t xml:space="preserve">1. Enter 40-char number
2. Enter 41-char number</t>
  </si>
  <si>
    <t xml:space="preserve">40 / 41 chars</t>
  </si>
  <si>
    <t xml:space="preserve">40 accepted; 41 rejected.</t>
  </si>
  <si>
    <t xml:space="preserve">EMP-012</t>
  </si>
  <si>
    <t xml:space="preserve">Employee ID is built as COMPANY-NUMBER</t>
  </si>
  <si>
    <t xml:space="preserve">Company code ACME</t>
  </si>
  <si>
    <t xml:space="preserve">1. Create employee with number '0042'</t>
  </si>
  <si>
    <t xml:space="preserve">0042</t>
  </si>
  <si>
    <t xml:space="preserve">Employee ID shown as ACME-0042.</t>
  </si>
  <si>
    <t xml:space="preserve">Executed probe: {"companyCode":"ACME","employeeNumber":"0042","code":"ACME-0042"}. Logic checked by running the backend code; UI / API / database flow NOT tested.</t>
  </si>
  <si>
    <t xml:space="preserve">EMP-013</t>
  </si>
  <si>
    <t xml:space="preserve">Company prefix typed by user is not duplicated</t>
  </si>
  <si>
    <t xml:space="preserve">1. Enter employee number 'acme-0042'</t>
  </si>
  <si>
    <t xml:space="preserve">acme-0042</t>
  </si>
  <si>
    <t xml:space="preserve">ID is ACME-0042 (not ACME-ACME-0042).</t>
  </si>
  <si>
    <t xml:space="preserve">EMP-014</t>
  </si>
  <si>
    <t xml:space="preserve">Employee number that only looks like the prefix is kept</t>
  </si>
  <si>
    <t xml:space="preserve">1. Enter 'ACMEX-1'</t>
  </si>
  <si>
    <t xml:space="preserve">ACMEX-1</t>
  </si>
  <si>
    <t xml:space="preserve">Stored as ACMEX-1 under ACME =&gt; ACME-ACMEX-1.</t>
  </si>
  <si>
    <t xml:space="preserve">Executed probe: {"companyCode":"ACME","employeeNumber":"ACMEX-1","code":"ACME-ACMEX-1"}. Logic checked by running the backend code; UI / API / database flow NOT tested.</t>
  </si>
  <si>
    <t xml:space="preserve">EMP-015</t>
  </si>
  <si>
    <t xml:space="preserve">Duplicate employee number in same company</t>
  </si>
  <si>
    <t xml:space="preserve">ACME-0042 exists</t>
  </si>
  <si>
    <t xml:space="preserve">1. Create another employee with number 0042</t>
  </si>
  <si>
    <t xml:space="preserve">Error 'Employee code already exists (ACME-0042)' naming the owner.</t>
  </si>
  <si>
    <t xml:space="preserve">backend src/services/adminUsers/adminUsers.service.ts</t>
  </si>
  <si>
    <t xml:space="preserve">EMP-016</t>
  </si>
  <si>
    <t xml:space="preserve">Bulk Upload</t>
  </si>
  <si>
    <t xml:space="preserve">Download bulk upload template</t>
  </si>
  <si>
    <t xml:space="preserve">1. Users &gt; Bulk upload
2. Click Download template</t>
  </si>
  <si>
    <t xml:space="preserve">Excel template downloads with expected columns.</t>
  </si>
  <si>
    <t xml:space="preserve">backend src/routing (GET /bulk/template)</t>
  </si>
  <si>
    <t xml:space="preserve">EMP-017</t>
  </si>
  <si>
    <t xml:space="preserve">Preview then commit valid file</t>
  </si>
  <si>
    <t xml:space="preserve">Filled template with 5 valid rows</t>
  </si>
  <si>
    <t xml:space="preserve">1. Upload file
2. Review preview
3. Commit</t>
  </si>
  <si>
    <t xml:space="preserve">5 rows</t>
  </si>
  <si>
    <t xml:space="preserve">Preview shows 5 valid rows; commit creates 5 employees.</t>
  </si>
  <si>
    <t xml:space="preserve">backend src/routing (POST /bulk, /commit)</t>
  </si>
  <si>
    <t xml:space="preserve">EMP-018</t>
  </si>
  <si>
    <t xml:space="preserve">File with invalid rows</t>
  </si>
  <si>
    <t xml:space="preserve">File has 1 duplicate email and 1 missing name</t>
  </si>
  <si>
    <t xml:space="preserve">1. Upload file
2. Review preview</t>
  </si>
  <si>
    <t xml:space="preserve">2 bad rows</t>
  </si>
  <si>
    <t xml:space="preserve">Bad rows flagged with reasons; valid rows can still proceed or commit is blocked as designed.</t>
  </si>
  <si>
    <t xml:space="preserve">backend src/routing (POST /bulk)</t>
  </si>
  <si>
    <t xml:space="preserve">EMP-019</t>
  </si>
  <si>
    <t xml:space="preserve">Wrong file type</t>
  </si>
  <si>
    <t xml:space="preserve">1. Upload a .pdf as bulk file</t>
  </si>
  <si>
    <t xml:space="preserve">sample.pdf</t>
  </si>
  <si>
    <t xml:space="preserve">Rejected with a clear file-type error.</t>
  </si>
  <si>
    <t xml:space="preserve">EMP-020</t>
  </si>
  <si>
    <t xml:space="preserve">Disable an employee</t>
  </si>
  <si>
    <t xml:space="preserve">Active employee</t>
  </si>
  <si>
    <t xml:space="preserve">1. Open employee
2. Click Disable
3. Confirm</t>
  </si>
  <si>
    <t xml:space="preserve">Status becomes Inactive; employee can no longer log in.</t>
  </si>
  <si>
    <t xml:space="preserve">backend PUT /:id/status</t>
  </si>
  <si>
    <t xml:space="preserve">EMP-021</t>
  </si>
  <si>
    <t xml:space="preserve">Re-enable an employee</t>
  </si>
  <si>
    <t xml:space="preserve">Disabled employee with password</t>
  </si>
  <si>
    <t xml:space="preserve">1. Click Enable</t>
  </si>
  <si>
    <t xml:space="preserve">Status returns to Active; login works.</t>
  </si>
  <si>
    <t xml:space="preserve">EMP-022</t>
  </si>
  <si>
    <t xml:space="preserve">Cannot manage user of another company</t>
  </si>
  <si>
    <t xml:space="preserve">Two companies A and B</t>
  </si>
  <si>
    <t xml:space="preserve">1. As Admin of A, call update on a user of B</t>
  </si>
  <si>
    <t xml:space="preserve">userId of B</t>
  </si>
  <si>
    <t xml:space="preserve">Rejected; non-superadmin cannot target another company.</t>
  </si>
  <si>
    <t xml:space="preserve">EMP-023</t>
  </si>
  <si>
    <t xml:space="preserve">Inactive company blocks management actions</t>
  </si>
  <si>
    <t xml:space="preserve">Company is inactive</t>
  </si>
  <si>
    <t xml:space="preserve">1. Try to add or edit a user</t>
  </si>
  <si>
    <t xml:space="preserve">Blocked with '&lt;Company name&gt; is inactive.'</t>
  </si>
  <si>
    <t xml:space="preserve">EMP-024</t>
  </si>
  <si>
    <t xml:space="preserve">Manager</t>
  </si>
  <si>
    <t xml:space="preserve">Assign reporting manager</t>
  </si>
  <si>
    <t xml:space="preserve">Manager exists</t>
  </si>
  <si>
    <t xml:space="preserve">1. Open employee
2. Choose Reporting Manager
3. Save</t>
  </si>
  <si>
    <t xml:space="preserve">Manager 'Ravi'</t>
  </si>
  <si>
    <t xml:space="preserve">Manager saved; employee appears in manager's team; approvals route to the manager.</t>
  </si>
  <si>
    <t xml:space="preserve">backend PUT /:id/manager</t>
  </si>
  <si>
    <t xml:space="preserve">EMP-025</t>
  </si>
  <si>
    <t xml:space="preserve">Employee cannot be their own manager</t>
  </si>
  <si>
    <t xml:space="preserve">1. Set employee as own manager</t>
  </si>
  <si>
    <t xml:space="preserve">same user</t>
  </si>
  <si>
    <t xml:space="preserve">Error 'A user cannot be their own reporting manager' (400).</t>
  </si>
  <si>
    <t xml:space="preserve">EMP-026</t>
  </si>
  <si>
    <t xml:space="preserve">Access Role</t>
  </si>
  <si>
    <t xml:space="preserve">Assign Payroll Executive access role</t>
  </si>
  <si>
    <t xml:space="preserve">Employee exists</t>
  </si>
  <si>
    <t xml:space="preserve">1. Open employee
2. Set Access Role = Payroll Executive
3. Save</t>
  </si>
  <si>
    <t xml:space="preserve">payrollexecutive</t>
  </si>
  <si>
    <t xml:space="preserve">Employee gets payroll permissions but organizational role is unchanged.</t>
  </si>
  <si>
    <t xml:space="preserve">backend src/services/permissions/permission.utils.test.ts</t>
  </si>
  <si>
    <t xml:space="preserve">Verified by existing test permission.utils.test.ts (ran OK). Logic checked by running the backend code; UI / API / database flow NOT tested.</t>
  </si>
  <si>
    <t xml:space="preserve">EMP-027</t>
  </si>
  <si>
    <t xml:space="preserve">Search</t>
  </si>
  <si>
    <t xml:space="preserve">Search/filter employee list</t>
  </si>
  <si>
    <t xml:space="preserve">20+ employees</t>
  </si>
  <si>
    <t xml:space="preserve">1. Type part of a name in search
2. Filter by department</t>
  </si>
  <si>
    <t xml:space="preserve">'Asha'</t>
  </si>
  <si>
    <t xml:space="preserve">List shows only matching employees; pagination counts update.</t>
  </si>
  <si>
    <t xml:space="preserve">EMP-028</t>
  </si>
  <si>
    <t xml:space="preserve">Duplicate phone number</t>
  </si>
  <si>
    <t xml:space="preserve">A user with phone 9876543210 exists</t>
  </si>
  <si>
    <t xml:space="preserve">1. Add employee with the same phone
2. Save</t>
  </si>
  <si>
    <t xml:space="preserve">9876543210</t>
  </si>
  <si>
    <t xml:space="preserve">Error 'Phone number already exists (...)'.</t>
  </si>
  <si>
    <t xml:space="preserve">EMP-029</t>
  </si>
  <si>
    <t xml:space="preserve">Duplicate rows are skipped with reason</t>
  </si>
  <si>
    <t xml:space="preserve">File repeats an existing email, phone and employee code</t>
  </si>
  <si>
    <t xml:space="preserve">1. Upload file
2. Open preview</t>
  </si>
  <si>
    <t xml:space="preserve">3 duplicate rows</t>
  </si>
  <si>
    <t xml:space="preserve">Each row shows its error ('Email already exists', 'Phone number already exists', 'Employee code already exists') and a skip reason.</t>
  </si>
  <si>
    <t xml:space="preserve">EMP-030</t>
  </si>
  <si>
    <t xml:space="preserve">Row where user is own manager</t>
  </si>
  <si>
    <t xml:space="preserve">File row lists the employee as own manager</t>
  </si>
  <si>
    <t xml:space="preserve">1. Upload file</t>
  </si>
  <si>
    <t xml:space="preserve">Row error 'A user cannot be their own manager'.</t>
  </si>
  <si>
    <t xml:space="preserve">PROF-001</t>
  </si>
  <si>
    <t xml:space="preserve">Personal details</t>
  </si>
  <si>
    <t xml:space="preserve">Employee updates own personal details</t>
  </si>
  <si>
    <t xml:space="preserve">1. Open My Profile
2. Edit Personal details
3. Save</t>
  </si>
  <si>
    <t xml:space="preserve">DOB, gender, address</t>
  </si>
  <si>
    <t xml:space="preserve">Changes saved and shown after refresh.</t>
  </si>
  <si>
    <t xml:space="preserve">backend PUT /me/profile/*</t>
  </si>
  <si>
    <t xml:space="preserve">PROF-002</t>
  </si>
  <si>
    <t xml:space="preserve">Family details</t>
  </si>
  <si>
    <t xml:space="preserve">Employee updates own family details</t>
  </si>
  <si>
    <t xml:space="preserve">1. Open My Profile
2. Edit Family details
3. Save</t>
  </si>
  <si>
    <t xml:space="preserve">spouse, children</t>
  </si>
  <si>
    <t xml:space="preserve">PROF-003</t>
  </si>
  <si>
    <t xml:space="preserve">Skills</t>
  </si>
  <si>
    <t xml:space="preserve">Employee updates own skills</t>
  </si>
  <si>
    <t xml:space="preserve">1. Open My Profile
2. Edit Skills
3. Save</t>
  </si>
  <si>
    <t xml:space="preserve">Excel, SQL</t>
  </si>
  <si>
    <t xml:space="preserve">PROF-004</t>
  </si>
  <si>
    <t xml:space="preserve">Statutory details</t>
  </si>
  <si>
    <t xml:space="preserve">Employee updates own statutory details</t>
  </si>
  <si>
    <t xml:space="preserve">1. Open My Profile
2. Edit Statutory details
3. Save</t>
  </si>
  <si>
    <t xml:space="preserve">PAN, UAN, ESIC number</t>
  </si>
  <si>
    <t xml:space="preserve">PROF-005</t>
  </si>
  <si>
    <t xml:space="preserve">Profile</t>
  </si>
  <si>
    <t xml:space="preserve">Employee cannot edit another employee's profile</t>
  </si>
  <si>
    <t xml:space="preserve">1. Call PUT /:id/profile/personal for another user</t>
  </si>
  <si>
    <t xml:space="preserve">other userId</t>
  </si>
  <si>
    <t xml:space="preserve">Rejected with 403.</t>
  </si>
  <si>
    <t xml:space="preserve">PROF-006</t>
  </si>
  <si>
    <t xml:space="preserve">HR edits an employee's profile</t>
  </si>
  <si>
    <t xml:space="preserve">edit_users permission</t>
  </si>
  <si>
    <t xml:space="preserve">1. Open employee
2. Edit personal info
3. Save</t>
  </si>
  <si>
    <t xml:space="preserve">Saved; audit shows HR as editor.</t>
  </si>
  <si>
    <t xml:space="preserve">backend PUT /:id/profile/*</t>
  </si>
  <si>
    <t xml:space="preserve">PROF-007</t>
  </si>
  <si>
    <t xml:space="preserve">Documents</t>
  </si>
  <si>
    <t xml:space="preserve">Upload profile document</t>
  </si>
  <si>
    <t xml:space="preserve">1. Profile &gt; Documents
2. Upload PDF
3. Save</t>
  </si>
  <si>
    <t xml:space="preserve">aadhaar.pdf</t>
  </si>
  <si>
    <t xml:space="preserve">Document listed and downloadable.</t>
  </si>
  <si>
    <t xml:space="preserve">frontend app/dashboard/profile/documents</t>
  </si>
  <si>
    <t xml:space="preserve">PROF-008</t>
  </si>
  <si>
    <t xml:space="preserve">Upload unsupported/oversized document</t>
  </si>
  <si>
    <t xml:space="preserve">1. Upload .exe or very large file</t>
  </si>
  <si>
    <t xml:space="preserve">virus.exe</t>
  </si>
  <si>
    <t xml:space="preserve">Rejected with file-type/size error.</t>
  </si>
  <si>
    <t xml:space="preserve">PROF-009</t>
  </si>
  <si>
    <t xml:space="preserve">Bank Details</t>
  </si>
  <si>
    <t xml:space="preserve">Save bank details</t>
  </si>
  <si>
    <t xml:space="preserve">1. Add account holder, account number, IFSC
2. Save</t>
  </si>
  <si>
    <t xml:space="preserve">HDFC0001234</t>
  </si>
  <si>
    <t xml:space="preserve">Saved; used later for payroll validation (missing bank details raises a payroll issue).</t>
  </si>
  <si>
    <t xml:space="preserve">backend PUT /bankDetails/:id; payrollValidation</t>
  </si>
  <si>
    <t xml:space="preserve">PROF-010</t>
  </si>
  <si>
    <t xml:space="preserve">Missing bank details flagged in payroll</t>
  </si>
  <si>
    <t xml:space="preserve">Payroll Executive</t>
  </si>
  <si>
    <t xml:space="preserve">Employee with no bank details in a payroll run</t>
  </si>
  <si>
    <t xml:space="preserve">1. Run validation</t>
  </si>
  <si>
    <t xml:space="preserve">Issue 'missing_bank_details' raised; recommended action: update the employee profile.</t>
  </si>
  <si>
    <t xml:space="preserve">backend src/services/payroll/payrollValidation.test.ts</t>
  </si>
  <si>
    <t xml:space="preserve">PERM-001</t>
  </si>
  <si>
    <t xml:space="preserve">Role Defaults</t>
  </si>
  <si>
    <t xml:space="preserve">View permission matrix</t>
  </si>
  <si>
    <t xml:space="preserve">manage_permissions</t>
  </si>
  <si>
    <t xml:space="preserve">1. Open /dashboard/permissions</t>
  </si>
  <si>
    <t xml:space="preserve">Roles and their permissions listed.</t>
  </si>
  <si>
    <t xml:space="preserve">frontend app/dashboard/permissions</t>
  </si>
  <si>
    <t xml:space="preserve">PERM-002</t>
  </si>
  <si>
    <t xml:space="preserve">HR cannot finalize or reopen payroll by default</t>
  </si>
  <si>
    <t xml:space="preserve">Default role config</t>
  </si>
  <si>
    <t xml:space="preserve">1. Open payroll run as HR
2. Look for Finalize/Reopen</t>
  </si>
  <si>
    <t xml:space="preserve">Finalize and Reopen not available; Admin and HR Admin have both.</t>
  </si>
  <si>
    <t xml:space="preserve">backend src/services/payroll/payrollFinalization.test.ts; payrollReopen.test.ts</t>
  </si>
  <si>
    <t xml:space="preserve">PERM-003</t>
  </si>
  <si>
    <t xml:space="preserve">Override</t>
  </si>
  <si>
    <t xml:space="preserve">Grant a single permission to one user</t>
  </si>
  <si>
    <t xml:space="preserve">HR user exists</t>
  </si>
  <si>
    <t xml:space="preserve">1. Open permissions
2. Select user
3. Enable manage_workforce_policies
4. Save</t>
  </si>
  <si>
    <t xml:space="preserve">HR user</t>
  </si>
  <si>
    <t xml:space="preserve">User gains the permission without a role change.</t>
  </si>
  <si>
    <t xml:space="preserve">PERM-004</t>
  </si>
  <si>
    <t xml:space="preserve">Explicit deny overrides role default</t>
  </si>
  <si>
    <t xml:space="preserve">1. Disable an inherited permission for a user
2. Save</t>
  </si>
  <si>
    <t xml:space="preserve">User loses permission even though role grants it.</t>
  </si>
  <si>
    <t xml:space="preserve">PERM-005</t>
  </si>
  <si>
    <t xml:space="preserve">System permissions cannot be delegated to individuals</t>
  </si>
  <si>
    <t xml:space="preserve">1. Try to grant manage_permissions to one user</t>
  </si>
  <si>
    <t xml:space="preserve">Not allowed; control is disabled or request rejected.</t>
  </si>
  <si>
    <t xml:space="preserve">PERM-006</t>
  </si>
  <si>
    <t xml:space="preserve">Omitted overrides keep inheriting defaults</t>
  </si>
  <si>
    <t xml:space="preserve">1. Save override for one permission
2. Check other permissions</t>
  </si>
  <si>
    <t xml:space="preserve">Other permissions still follow the role default.</t>
  </si>
  <si>
    <t xml:space="preserve">PERM-007</t>
  </si>
  <si>
    <t xml:space="preserve">Menu</t>
  </si>
  <si>
    <t xml:space="preserve">Sidebar shows only permitted modules</t>
  </si>
  <si>
    <t xml:space="preserve">Employee role</t>
  </si>
  <si>
    <t xml:space="preserve">1. Log in and view sidebar</t>
  </si>
  <si>
    <t xml:space="preserve">Admin modules (Payroll, Permissions, Users) are hidden; My Attendance/My Leave/My Payslips visible.</t>
  </si>
  <si>
    <t xml:space="preserve">ORG-001</t>
  </si>
  <si>
    <t xml:space="preserve">Department</t>
  </si>
  <si>
    <t xml:space="preserve">Create department</t>
  </si>
  <si>
    <t xml:space="preserve">1. Departments &gt; Add
2. Enter name and code
3. Save</t>
  </si>
  <si>
    <t xml:space="preserve">Engineering / ENG-01</t>
  </si>
  <si>
    <t xml:space="preserve">Department appears in the list.</t>
  </si>
  <si>
    <t xml:space="preserve">frontend app/dashboard/departments/AddDepartment.tsx</t>
  </si>
  <si>
    <t xml:space="preserve">ORG-002</t>
  </si>
  <si>
    <t xml:space="preserve">Duplicate team name inside a department</t>
  </si>
  <si>
    <t xml:space="preserve">Team exists</t>
  </si>
  <si>
    <t xml:space="preserve">1. Add team with the same name</t>
  </si>
  <si>
    <t xml:space="preserve">'Backend'</t>
  </si>
  <si>
    <t xml:space="preserve">Error 'Team already exists in this department'.</t>
  </si>
  <si>
    <t xml:space="preserve">backend src/services/department</t>
  </si>
  <si>
    <t xml:space="preserve">ORG-003</t>
  </si>
  <si>
    <t xml:space="preserve">Team name is required</t>
  </si>
  <si>
    <t xml:space="preserve">1. Add team with empty name</t>
  </si>
  <si>
    <t xml:space="preserve">Error 'Team name is required'.</t>
  </si>
  <si>
    <t xml:space="preserve">ORG-004</t>
  </si>
  <si>
    <t xml:space="preserve">Delete team that has employees</t>
  </si>
  <si>
    <t xml:space="preserve">Team has employees</t>
  </si>
  <si>
    <t xml:space="preserve">1. Delete team</t>
  </si>
  <si>
    <t xml:space="preserve">Blocked: 'This team has assigned employees. Move employees before deleting it.'</t>
  </si>
  <si>
    <t xml:space="preserve">ORG-005</t>
  </si>
  <si>
    <t xml:space="preserve">Department head must be employee or manager</t>
  </si>
  <si>
    <t xml:space="preserve">1. Set an admin account as department head</t>
  </si>
  <si>
    <t xml:space="preserve">admin user</t>
  </si>
  <si>
    <t xml:space="preserve">Error 'Choose an employee or manager, not an admin account'.</t>
  </si>
  <si>
    <t xml:space="preserve">ORG-006</t>
  </si>
  <si>
    <t xml:space="preserve">Close department with transfer of employees</t>
  </si>
  <si>
    <t xml:space="preserve">Department with employees; another department exists</t>
  </si>
  <si>
    <t xml:space="preserve">1. Open Department closure drawer
2. Select destination department
3. Enter transfer reason
4. Confirm</t>
  </si>
  <si>
    <t xml:space="preserve">reason='Restructure'</t>
  </si>
  <si>
    <t xml:space="preserve">Employees move to destination; department archived.</t>
  </si>
  <si>
    <t xml:space="preserve">frontend app/dashboard/departments/DepartmentClosureDrawer.tsx</t>
  </si>
  <si>
    <t xml:space="preserve">ORG-007</t>
  </si>
  <si>
    <t xml:space="preserve">Closure reason too short</t>
  </si>
  <si>
    <t xml:space="preserve">1. In closure drawer enter reason 'ab'</t>
  </si>
  <si>
    <t xml:space="preserve">ab</t>
  </si>
  <si>
    <t xml:space="preserve">Error 'Transfer reason must be at least 3 characters'.</t>
  </si>
  <si>
    <t xml:space="preserve">ORG-008</t>
  </si>
  <si>
    <t xml:space="preserve">Closure without destination</t>
  </si>
  <si>
    <t xml:space="preserve">Department has employees</t>
  </si>
  <si>
    <t xml:space="preserve">1. Confirm closure without selecting destination</t>
  </si>
  <si>
    <t xml:space="preserve">Error 'Select a valid destination department'.</t>
  </si>
  <si>
    <t xml:space="preserve">ORG-009</t>
  </si>
  <si>
    <t xml:space="preserve">HR cannot manage departments</t>
  </si>
  <si>
    <t xml:space="preserve">1. Try to add or archive a department</t>
  </si>
  <si>
    <t xml:space="preserve">Error 'Only superadmin or admin can manage departments'.</t>
  </si>
  <si>
    <t xml:space="preserve">ORG-010</t>
  </si>
  <si>
    <t xml:space="preserve">Location</t>
  </si>
  <si>
    <t xml:space="preserve">Create office location</t>
  </si>
  <si>
    <t xml:space="preserve">1. Locations &gt; Add
2. Enter name, code, city, state, country, pin, address, lat, lng
3. Save</t>
  </si>
  <si>
    <t xml:space="preserve">Delhi Head Office / DEL-HO / 28.6139 / 77.2090</t>
  </si>
  <si>
    <t xml:space="preserve">Location saved and listed.</t>
  </si>
  <si>
    <t xml:space="preserve">frontend app/dashboard/locations/LocationModal.tsx</t>
  </si>
  <si>
    <t xml:space="preserve">ORG-011</t>
  </si>
  <si>
    <t xml:space="preserve">Required fields</t>
  </si>
  <si>
    <t xml:space="preserve">1. Save with name, code or city empty</t>
  </si>
  <si>
    <t xml:space="preserve">Error 'Location name, code, and city are required'.</t>
  </si>
  <si>
    <t xml:space="preserve">backend src/services/officeLocation</t>
  </si>
  <si>
    <t xml:space="preserve">ORG-012</t>
  </si>
  <si>
    <t xml:space="preserve">Duplicate name or code</t>
  </si>
  <si>
    <t xml:space="preserve">DEL-HO exists</t>
  </si>
  <si>
    <t xml:space="preserve">1. Create another with code DEL-HO</t>
  </si>
  <si>
    <t xml:space="preserve">DEL-HO</t>
  </si>
  <si>
    <t xml:space="preserve">Error 'A location with this name or code already exists for this company'.</t>
  </si>
  <si>
    <t xml:space="preserve">ORG-013</t>
  </si>
  <si>
    <t xml:space="preserve">Latitude and longitude must be given together</t>
  </si>
  <si>
    <t xml:space="preserve">1. Enter latitude only</t>
  </si>
  <si>
    <t xml:space="preserve">lat=28.6</t>
  </si>
  <si>
    <t xml:space="preserve">Error 'Latitude and longitude must be provided together'.</t>
  </si>
  <si>
    <t xml:space="preserve">ORG-014</t>
  </si>
  <si>
    <t xml:space="preserve">Latitude/longitude ranges</t>
  </si>
  <si>
    <t xml:space="preserve">1. lat 90.1
2. lng -180.1
3. lat 'abc'</t>
  </si>
  <si>
    <t xml:space="preserve">Errors 'Latitude must be between -90 and 90', 'Longitude must be between -180 and 180', 'Latitude must be a number'.</t>
  </si>
  <si>
    <t xml:space="preserve">ORG-015</t>
  </si>
  <si>
    <t xml:space="preserve">Delete location assigned to employees</t>
  </si>
  <si>
    <t xml:space="preserve">Employees assigned</t>
  </si>
  <si>
    <t xml:space="preserve">1. Delete the location</t>
  </si>
  <si>
    <t xml:space="preserve">Blocked: 'This location is assigned to employees. Deactivate it instead of deleting it.'</t>
  </si>
  <si>
    <t xml:space="preserve">ORG-016</t>
  </si>
  <si>
    <t xml:space="preserve">Employee cannot manage locations</t>
  </si>
  <si>
    <t xml:space="preserve">1. Open /dashboard/locations</t>
  </si>
  <si>
    <t xml:space="preserve">No access; API returns 403.</t>
  </si>
  <si>
    <t xml:space="preserve">ORG-017</t>
  </si>
  <si>
    <t xml:space="preserve">Organization</t>
  </si>
  <si>
    <t xml:space="preserve">Org tree shows reporting hierarchy</t>
  </si>
  <si>
    <t xml:space="preserve">Managers and reportees configured</t>
  </si>
  <si>
    <t xml:space="preserve">1. Open Organization &gt; Tree</t>
  </si>
  <si>
    <t xml:space="preserve">Tree reflects manager-reportee structure; clicking a person opens the drawer.</t>
  </si>
  <si>
    <t xml:space="preserve">frontend app/dashboard/organization</t>
  </si>
  <si>
    <t xml:space="preserve">ORG-018</t>
  </si>
  <si>
    <t xml:space="preserve">Company Settings</t>
  </si>
  <si>
    <t xml:space="preserve">Update company settings</t>
  </si>
  <si>
    <t xml:space="preserve">company_settings permission</t>
  </si>
  <si>
    <t xml:space="preserve">1. Open Company Settings
2. Change a value
3. Save</t>
  </si>
  <si>
    <t xml:space="preserve">Saved and persisted after refresh.</t>
  </si>
  <si>
    <t xml:space="preserve">frontend app/dashboard/company-settings</t>
  </si>
  <si>
    <t xml:space="preserve">ORG-019</t>
  </si>
  <si>
    <t xml:space="preserve">Contacts</t>
  </si>
  <si>
    <t xml:space="preserve">Contact list loads and searches</t>
  </si>
  <si>
    <t xml:space="preserve">1. Open Contacts
2. Search for a name</t>
  </si>
  <si>
    <t xml:space="preserve">Matching contacts shown.</t>
  </si>
  <si>
    <t xml:space="preserve">frontend app/dashboard/contacts</t>
  </si>
  <si>
    <t xml:space="preserve">ORG-020</t>
  </si>
  <si>
    <t xml:space="preserve">Notifications</t>
  </si>
  <si>
    <t xml:space="preserve">Mark notification read / read all</t>
  </si>
  <si>
    <t xml:space="preserve">Unread notifications</t>
  </si>
  <si>
    <t xml:space="preserve">1. Open Notifications
2. Click one
3. Click Mark all read</t>
  </si>
  <si>
    <t xml:space="preserve">Unread count drops to 0; items flagged read.</t>
  </si>
  <si>
    <t xml:space="preserve">backend PATCH /:notificationId/read, /read-all</t>
  </si>
  <si>
    <t xml:space="preserve">ATT-001</t>
  </si>
  <si>
    <t xml:space="preserve">Punch</t>
  </si>
  <si>
    <t xml:space="preserve">Punch in on a working day</t>
  </si>
  <si>
    <t xml:space="preserve">Working day; employee assigned to a shift</t>
  </si>
  <si>
    <t xml:space="preserve">1. Open My Attendance
2. Click Punch In</t>
  </si>
  <si>
    <t xml:space="preserve">09:30</t>
  </si>
  <si>
    <t xml:space="preserve">Punch-in time recorded; status shows 'pending' (open session) for the day.</t>
  </si>
  <si>
    <t xml:space="preserve">backend src/services/attendance/attendancePunch.ts</t>
  </si>
  <si>
    <t xml:space="preserve">ATT-002</t>
  </si>
  <si>
    <t xml:space="preserve">Punch out after punch in</t>
  </si>
  <si>
    <t xml:space="preserve">Already punched in</t>
  </si>
  <si>
    <t xml:space="preserve">1. Click Punch Out</t>
  </si>
  <si>
    <t xml:space="preserve">18:30</t>
  </si>
  <si>
    <t xml:space="preserve">Session closes; worked minutes computed; day status calculated.</t>
  </si>
  <si>
    <t xml:space="preserve">backend src/services/attendance/attendancePunch.test.ts</t>
  </si>
  <si>
    <t xml:space="preserve">ATT-003</t>
  </si>
  <si>
    <t xml:space="preserve">Punch out without a punch in</t>
  </si>
  <si>
    <t xml:space="preserve">No punch-in for the day</t>
  </si>
  <si>
    <t xml:space="preserve">Rejected; punch-out requires a punch-in.</t>
  </si>
  <si>
    <t xml:space="preserve">Verified by existing test attendancePunch.test.ts (ran OK). Logic checked by running the backend code; UI / API / database flow NOT tested.</t>
  </si>
  <si>
    <t xml:space="preserve">ATT-004</t>
  </si>
  <si>
    <t xml:space="preserve">Second punch-out replaces the first (latest wins)</t>
  </si>
  <si>
    <t xml:space="preserve">Punched in 09:30, out 15:00</t>
  </si>
  <si>
    <t xml:space="preserve">1. Punch out again at 18:00</t>
  </si>
  <si>
    <t xml:space="preserve">15:00 then 18:00</t>
  </si>
  <si>
    <t xml:space="preserve">Final session is 09:30-18:00; previous punch-out 15:00 kept as history.</t>
  </si>
  <si>
    <t xml:space="preserve">ATT-005</t>
  </si>
  <si>
    <t xml:space="preserve">Overnight shift punch-out next morning</t>
  </si>
  <si>
    <t xml:space="preserve">Night shift crossing midnight</t>
  </si>
  <si>
    <t xml:space="preserve">1. Punch in 22:00
2. Punch out 06:00 next day</t>
  </si>
  <si>
    <t xml:space="preserve">22:00 -&gt; 06:00</t>
  </si>
  <si>
    <t xml:space="preserve">Punch-out belongs to the previous attendance date; one session recorded.</t>
  </si>
  <si>
    <t xml:space="preserve">ATT-006</t>
  </si>
  <si>
    <t xml:space="preserve">Punch inside office geofence</t>
  </si>
  <si>
    <t xml:space="preserve">Policy needs geofence; office lat/lng set</t>
  </si>
  <si>
    <t xml:space="preserve">1. Punch in from the office location</t>
  </si>
  <si>
    <t xml:space="preserve">Same coordinates as office</t>
  </si>
  <si>
    <t xml:space="preserve">Punch accepted; distance 0 m, within geofence.</t>
  </si>
  <si>
    <t xml:space="preserve">ATT-007</t>
  </si>
  <si>
    <t xml:space="preserve">Punch outside office geofence</t>
  </si>
  <si>
    <t xml:space="preserve">Geofence enforced; office lat/lng set</t>
  </si>
  <si>
    <t xml:space="preserve">1. Punch in from &gt;700 m away</t>
  </si>
  <si>
    <t xml:space="preserve">~700+ m from office</t>
  </si>
  <si>
    <t xml:space="preserve">Punch flagged/blocked as outside geofence per policy.</t>
  </si>
  <si>
    <t xml:space="preserve">ATT-008</t>
  </si>
  <si>
    <t xml:space="preserve">Punch from an untrusted device</t>
  </si>
  <si>
    <t xml:space="preserve">Trusted-device policy is on; device not approved</t>
  </si>
  <si>
    <t xml:space="preserve">1. Punch in from a new browser/device</t>
  </si>
  <si>
    <t xml:space="preserve">new device</t>
  </si>
  <si>
    <t xml:space="preserve">Punch blocked or sent for approval per punch access policy.</t>
  </si>
  <si>
    <t xml:space="preserve">backend src/services/attendance/attendancePunchAccess.test.ts</t>
  </si>
  <si>
    <t xml:space="preserve">ATT-009</t>
  </si>
  <si>
    <t xml:space="preserve">Approve a trusted device</t>
  </si>
  <si>
    <t xml:space="preserve">Pending device request</t>
  </si>
  <si>
    <t xml:space="preserve">1. Attendance &gt; Trusted devices
2. Approve the device</t>
  </si>
  <si>
    <t xml:space="preserve">Employee can punch from the device afterwards.</t>
  </si>
  <si>
    <t xml:space="preserve">frontend app/dashboard/attendance/AttendanceTrustedDevicesPanel.tsx</t>
  </si>
  <si>
    <t xml:space="preserve">ATT-010</t>
  </si>
  <si>
    <t xml:space="preserve">Calculation</t>
  </si>
  <si>
    <t xml:space="preserve">Full day with overtime</t>
  </si>
  <si>
    <t xml:space="preserve">8-hour shift</t>
  </si>
  <si>
    <t xml:space="preserve">1. Work 9 hours
2. Open the day</t>
  </si>
  <si>
    <t xml:space="preserve">worked=540 min</t>
  </si>
  <si>
    <t xml:space="preserve">Status 'present', late 0, early exit 0, overtime 60.</t>
  </si>
  <si>
    <t xml:space="preserve">backend src/services/attendance/attendanceCalculator.test.ts</t>
  </si>
  <si>
    <t xml:space="preserve">Verified by existing test attendanceCalculator.test.ts (ran OK). Logic checked by running the backend code; UI / API / database flow NOT tested.</t>
  </si>
  <si>
    <t xml:space="preserve">ATT-011</t>
  </si>
  <si>
    <t xml:space="preserve">Multiple sessions with a break</t>
  </si>
  <si>
    <t xml:space="preserve">Two sessions in a day, 60-min gap</t>
  </si>
  <si>
    <t xml:space="preserve">1. Punch in/out twice
2. Open the day</t>
  </si>
  <si>
    <t xml:space="preserve">break=60</t>
  </si>
  <si>
    <t xml:space="preserve">Worked 435, break 60, status 'half_day', late 5, early exit 25 (per fixture).</t>
  </si>
  <si>
    <t xml:space="preserve">ATT-012</t>
  </si>
  <si>
    <t xml:space="preserve">Open session during the day</t>
  </si>
  <si>
    <t xml:space="preserve">Punched in, not out, day not closed</t>
  </si>
  <si>
    <t xml:space="preserve">1. Open day view</t>
  </si>
  <si>
    <t xml:space="preserve">Status 'pending', state 'open', missing punch flagged.</t>
  </si>
  <si>
    <t xml:space="preserve">ATT-013</t>
  </si>
  <si>
    <t xml:space="preserve">Day closed with no punches</t>
  </si>
  <si>
    <t xml:space="preserve">Working day, closed, no punch</t>
  </si>
  <si>
    <t xml:space="preserve">1. Run processor / view day</t>
  </si>
  <si>
    <t xml:space="preserve">Status 'absent'.</t>
  </si>
  <si>
    <t xml:space="preserve">ATT-014</t>
  </si>
  <si>
    <t xml:space="preserve">Day closed with only a punch-in</t>
  </si>
  <si>
    <t xml:space="preserve">Missing punch-out after close</t>
  </si>
  <si>
    <t xml:space="preserve">1. View day</t>
  </si>
  <si>
    <t xml:space="preserve">Status 'incomplete' with missing punch flag.</t>
  </si>
  <si>
    <t xml:space="preserve">ATT-015</t>
  </si>
  <si>
    <t xml:space="preserve">No punch on a weekly off</t>
  </si>
  <si>
    <t xml:space="preserve">Sunday = weekly off</t>
  </si>
  <si>
    <t xml:space="preserve">1. View Sunday</t>
  </si>
  <si>
    <t xml:space="preserve">Status 'weekly_off', not absent.</t>
  </si>
  <si>
    <t xml:space="preserve">ATT-016</t>
  </si>
  <si>
    <t xml:space="preserve">Work on a holiday</t>
  </si>
  <si>
    <t xml:space="preserve">Holiday in calendar</t>
  </si>
  <si>
    <t xml:space="preserve">1. Punch 2 hours on the holiday</t>
  </si>
  <si>
    <t xml:space="preserve">120 min</t>
  </si>
  <si>
    <t xml:space="preserve">Status 'present' with 120 worked minutes; may be eligible for comp-off.</t>
  </si>
  <si>
    <t xml:space="preserve">ATT-017</t>
  </si>
  <si>
    <t xml:space="preserve">Very late arrival cannot be recovered by working after shift</t>
  </si>
  <si>
    <t xml:space="preserve">Scheduled window set</t>
  </si>
  <si>
    <t xml:space="preserve">1. Arrive 140 min late
2. Work 8 hours total (after shift end)</t>
  </si>
  <si>
    <t xml:space="preserve">late=140, worked=480</t>
  </si>
  <si>
    <t xml:space="preserve">Late 140 and status 'half_day' despite 480 worked.</t>
  </si>
  <si>
    <t xml:space="preserve">ATT-018</t>
  </si>
  <si>
    <t xml:space="preserve">Shift across midnight is calculated as one day</t>
  </si>
  <si>
    <t xml:space="preserve">Night shift</t>
  </si>
  <si>
    <t xml:space="preserve">1. Work a full overnight shift</t>
  </si>
  <si>
    <t xml:space="preserve">worked=420</t>
  </si>
  <si>
    <t xml:space="preserve">Status 'present', early exit 0.</t>
  </si>
  <si>
    <t xml:space="preserve">ATT-019</t>
  </si>
  <si>
    <t xml:space="preserve">Processor</t>
  </si>
  <si>
    <t xml:space="preserve">Day shift auto-closes at shift end</t>
  </si>
  <si>
    <t xml:space="preserve">System</t>
  </si>
  <si>
    <t xml:space="preserve">Attendance processor enabled</t>
  </si>
  <si>
    <t xml:space="preserve">1. Run processor after shift end</t>
  </si>
  <si>
    <t xml:space="preserve">Open days are closed at the scheduled close time.</t>
  </si>
  <si>
    <t xml:space="preserve">backend src/services/attendance/attendanceProcessor.test.ts</t>
  </si>
  <si>
    <t xml:space="preserve">ATT-020</t>
  </si>
  <si>
    <t xml:space="preserve">Grace period delays closing</t>
  </si>
  <si>
    <t xml:space="preserve">Grace period configured (e.g. 30 min)</t>
  </si>
  <si>
    <t xml:space="preserve">1. Run processor just after shift end</t>
  </si>
  <si>
    <t xml:space="preserve">grace=30</t>
  </si>
  <si>
    <t xml:space="preserve">Day closes only after shift end + grace.</t>
  </si>
  <si>
    <t xml:space="preserve">ATT-021</t>
  </si>
  <si>
    <t xml:space="preserve">Overnight shift closes next morning</t>
  </si>
  <si>
    <t xml:space="preserve">1. Run processor at night</t>
  </si>
  <si>
    <t xml:space="preserve">Close time falls on the next calendar day.</t>
  </si>
  <si>
    <t xml:space="preserve">ATT-022</t>
  </si>
  <si>
    <t xml:space="preserve">Completed run is not re-processed</t>
  </si>
  <si>
    <t xml:space="preserve">Run already complete</t>
  </si>
  <si>
    <t xml:space="preserve">1. Trigger processor again</t>
  </si>
  <si>
    <t xml:space="preserve">Run is detected as complete and skipped.</t>
  </si>
  <si>
    <t xml:space="preserve">ATT-023</t>
  </si>
  <si>
    <t xml:space="preserve">Regularization</t>
  </si>
  <si>
    <t xml:space="preserve">Employee submits regularization</t>
  </si>
  <si>
    <t xml:space="preserve">Missing punch-out yesterday</t>
  </si>
  <si>
    <t xml:space="preserve">1. My Attendance &gt; yesterday &gt; Regularize
2. Choose correction type
3. Enter times and reason
4. Submit</t>
  </si>
  <si>
    <t xml:space="preserve">punch-out 18:30; reason 'Forgot'</t>
  </si>
  <si>
    <t xml:space="preserve">Request created in Pending; goes to approver per workflow.</t>
  </si>
  <si>
    <t xml:space="preserve">backend src/services/attendance/attendanceRegularization.test.ts</t>
  </si>
  <si>
    <t xml:space="preserve">ATT-024</t>
  </si>
  <si>
    <t xml:space="preserve">Correction type is required</t>
  </si>
  <si>
    <t xml:space="preserve">1. Submit regularization without correction type</t>
  </si>
  <si>
    <t xml:space="preserve">Validation error on correctionType; request not created.</t>
  </si>
  <si>
    <t xml:space="preserve">ATT-025</t>
  </si>
  <si>
    <t xml:space="preserve">Manager approves regularization</t>
  </si>
  <si>
    <t xml:space="preserve">Pending request from a reportee</t>
  </si>
  <si>
    <t xml:space="preserve">1. Open Requests
2. Approve</t>
  </si>
  <si>
    <t xml:space="preserve">Attendance day is corrected and recalculated.</t>
  </si>
  <si>
    <t xml:space="preserve">ATT-026</t>
  </si>
  <si>
    <t xml:space="preserve">Manager rejects regularization</t>
  </si>
  <si>
    <t xml:space="preserve">Pending request</t>
  </si>
  <si>
    <t xml:space="preserve">1. Reject with a reason</t>
  </si>
  <si>
    <t xml:space="preserve">Request Rejected; day unchanged; employee notified.</t>
  </si>
  <si>
    <t xml:space="preserve">ATT-027</t>
  </si>
  <si>
    <t xml:space="preserve">Overnight correction keeps correct dates</t>
  </si>
  <si>
    <t xml:space="preserve">1. Regularize with punch-out after midnight</t>
  </si>
  <si>
    <t xml:space="preserve">Punch-out saved on the next calendar date.</t>
  </si>
  <si>
    <t xml:space="preserve">ATT-028</t>
  </si>
  <si>
    <t xml:space="preserve">Overtime</t>
  </si>
  <si>
    <t xml:space="preserve">Approve overtime</t>
  </si>
  <si>
    <t xml:space="preserve">Overtime minutes &gt; 0 and approval needed</t>
  </si>
  <si>
    <t xml:space="preserve">1. Open overtime request
2. Approve</t>
  </si>
  <si>
    <t xml:space="preserve">60 min</t>
  </si>
  <si>
    <t xml:space="preserve">Overtime marked approved and available for payroll.</t>
  </si>
  <si>
    <t xml:space="preserve">backend src/services/attendance/attendanceOvertime.test.ts</t>
  </si>
  <si>
    <t xml:space="preserve">ATT-029</t>
  </si>
  <si>
    <t xml:space="preserve">Approved overtime without amount blocks payroll validation</t>
  </si>
  <si>
    <t xml:space="preserve">Approved OT, no one-time earning</t>
  </si>
  <si>
    <t xml:space="preserve">1. Validate payroll run</t>
  </si>
  <si>
    <t xml:space="preserve">Issue 'approved_overtime_requires_amount'; recommendation: add one-time earning.</t>
  </si>
  <si>
    <t xml:space="preserve">ATT-030</t>
  </si>
  <si>
    <t xml:space="preserve">Period</t>
  </si>
  <si>
    <t xml:space="preserve">Lock attendance period</t>
  </si>
  <si>
    <t xml:space="preserve">lock_attendance_period permission; all days ready</t>
  </si>
  <si>
    <t xml:space="preserve">1. Attendance &gt; Period
2. Lock</t>
  </si>
  <si>
    <t xml:space="preserve">cycle Sep</t>
  </si>
  <si>
    <t xml:space="preserve">Period locked; edits blocked.</t>
  </si>
  <si>
    <t xml:space="preserve">backend src/services/attendance/attendancePeriod.test.ts</t>
  </si>
  <si>
    <t xml:space="preserve">ATT-031</t>
  </si>
  <si>
    <t xml:space="preserve">Lock blocked while blockers exist</t>
  </si>
  <si>
    <t xml:space="preserve">Open/incomplete days exist</t>
  </si>
  <si>
    <t xml:space="preserve">1. Try to lock</t>
  </si>
  <si>
    <t xml:space="preserve">Readiness blockers listed; lock refused.</t>
  </si>
  <si>
    <t xml:space="preserve">ATT-032</t>
  </si>
  <si>
    <t xml:space="preserve">Edit attendance in a locked period</t>
  </si>
  <si>
    <t xml:space="preserve">Period locked</t>
  </si>
  <si>
    <t xml:space="preserve">1. Adjust a day</t>
  </si>
  <si>
    <t xml:space="preserve">Edit rejected until period is reopened.</t>
  </si>
  <si>
    <t xml:space="preserve">ATT-033</t>
  </si>
  <si>
    <t xml:space="preserve">Reopen needs permission</t>
  </si>
  <si>
    <t xml:space="preserve">Locked period</t>
  </si>
  <si>
    <t xml:space="preserve">1. Try to reopen the period</t>
  </si>
  <si>
    <t xml:space="preserve">Denied; reopen_attendance_period required.</t>
  </si>
  <si>
    <t xml:space="preserve">ATT-034</t>
  </si>
  <si>
    <t xml:space="preserve">Auto-finalization at cycle end</t>
  </si>
  <si>
    <t xml:space="preserve">Auto-finalization configured</t>
  </si>
  <si>
    <t xml:space="preserve">1. Wait for cycle end or run job</t>
  </si>
  <si>
    <t xml:space="preserve">Eligible cycle finalizes; ineligible one is skipped with reason.</t>
  </si>
  <si>
    <t xml:space="preserve">ATT-035</t>
  </si>
  <si>
    <t xml:space="preserve">Adjustment</t>
  </si>
  <si>
    <t xml:space="preserve">HR adjusts a day manually</t>
  </si>
  <si>
    <t xml:space="preserve">adjust_attendance permission</t>
  </si>
  <si>
    <t xml:space="preserve">1. Open day drawer
2. Adjust status/time with reason
3. Save</t>
  </si>
  <si>
    <t xml:space="preserve">Day updated; revision history shows the change.</t>
  </si>
  <si>
    <t xml:space="preserve">frontend app/dashboard/attendance/AttendanceAdjustmentDrawer.tsx</t>
  </si>
  <si>
    <t xml:space="preserve">ATT-036</t>
  </si>
  <si>
    <t xml:space="preserve">Adjustment without permission</t>
  </si>
  <si>
    <t xml:space="preserve">1. Try to open Attendance admin</t>
  </si>
  <si>
    <t xml:space="preserve">No access.</t>
  </si>
  <si>
    <t xml:space="preserve">frontend app/dashboard/attendance</t>
  </si>
  <si>
    <t xml:space="preserve">ATT-037</t>
  </si>
  <si>
    <t xml:space="preserve">Import</t>
  </si>
  <si>
    <t xml:space="preserve">Import attendance from file</t>
  </si>
  <si>
    <t xml:space="preserve">import_attendance permission; valid file</t>
  </si>
  <si>
    <t xml:space="preserve">1. Attendance &gt; Import
2. Upload file
3. Confirm</t>
  </si>
  <si>
    <t xml:space="preserve">10 rows</t>
  </si>
  <si>
    <t xml:space="preserve">Rows imported; summary shows counts.</t>
  </si>
  <si>
    <t xml:space="preserve">frontend app/dashboard/attendance/AttendanceImportDrawer.tsx</t>
  </si>
  <si>
    <t xml:space="preserve">ATT-038</t>
  </si>
  <si>
    <t xml:space="preserve">Import invalid file</t>
  </si>
  <si>
    <t xml:space="preserve">1. Upload file with wrong columns</t>
  </si>
  <si>
    <t xml:space="preserve">Rejected with column/row errors.</t>
  </si>
  <si>
    <t xml:space="preserve">ATT-039</t>
  </si>
  <si>
    <t xml:space="preserve">Reports</t>
  </si>
  <si>
    <t xml:space="preserve">View and export attendance report</t>
  </si>
  <si>
    <t xml:space="preserve">view/export reports permission</t>
  </si>
  <si>
    <t xml:space="preserve">1. Attendance &gt; Reports
2. Choose month
3. Export</t>
  </si>
  <si>
    <t xml:space="preserve">Report matches day data; export downloads.</t>
  </si>
  <si>
    <t xml:space="preserve">backend src/services/attendance/attendanceReports.test.ts</t>
  </si>
  <si>
    <t xml:space="preserve">ATT-040</t>
  </si>
  <si>
    <t xml:space="preserve">Manager sees only own team</t>
  </si>
  <si>
    <t xml:space="preserve">Reportees configured</t>
  </si>
  <si>
    <t xml:space="preserve">1. Open attendance overview</t>
  </si>
  <si>
    <t xml:space="preserve">Only reportees listed (employee scope).</t>
  </si>
  <si>
    <t xml:space="preserve">backend src/services/attendance/attendanceOverview.test.ts</t>
  </si>
  <si>
    <t xml:space="preserve">WFH-001</t>
  </si>
  <si>
    <t xml:space="preserve">Request</t>
  </si>
  <si>
    <t xml:space="preserve">Request WFH for a valid single day</t>
  </si>
  <si>
    <t xml:space="preserve">WFH policy enabled</t>
  </si>
  <si>
    <t xml:space="preserve">1. Remote Work &gt; New request
2. Pick date, reason
3. Submit</t>
  </si>
  <si>
    <t xml:space="preserve">2026-09-01</t>
  </si>
  <si>
    <t xml:space="preserve">Request Pending; approver notified.</t>
  </si>
  <si>
    <t xml:space="preserve">backend src/services/remoteWork/remoteWorkRequest.service.ts</t>
  </si>
  <si>
    <t xml:space="preserve">WFH-002</t>
  </si>
  <si>
    <t xml:space="preserve">End date before start date</t>
  </si>
  <si>
    <t xml:space="preserve">1. Pick start 2026-09-02, end 2026-09-01
2. Submit</t>
  </si>
  <si>
    <t xml:space="preserve">Rejected (invalid date range).</t>
  </si>
  <si>
    <t xml:space="preserve">backend src/services/remoteWork/remoteWorkRequest.test.ts</t>
  </si>
  <si>
    <t xml:space="preserve">Executed probe: fromDate cannot be after toDate. Logic checked by running the backend code; UI / API / database flow NOT tested.</t>
  </si>
  <si>
    <t xml:space="preserve">WFH-003</t>
  </si>
  <si>
    <t xml:space="preserve">Range longer than 31 days</t>
  </si>
  <si>
    <t xml:space="preserve">1. Pick 2026-09-01 to 2026-10-02</t>
  </si>
  <si>
    <t xml:space="preserve">32 days</t>
  </si>
  <si>
    <t xml:space="preserve">Rejected; range too long.</t>
  </si>
  <si>
    <t xml:space="preserve">Executed probe: A WFH request can span at most 31 calendar days. Logic checked by running the backend code; UI / API / database flow NOT tested.</t>
  </si>
  <si>
    <t xml:space="preserve">WFH-004</t>
  </si>
  <si>
    <t xml:space="preserve">Weekly limit exceeded</t>
  </si>
  <si>
    <t xml:space="preserve">Policy maxDaysPerWeek e.g. 2</t>
  </si>
  <si>
    <t xml:space="preserve">1. Request 3 days in the same Mon-Sun week</t>
  </si>
  <si>
    <t xml:space="preserve">3 days</t>
  </si>
  <si>
    <t xml:space="preserve">Error 'Weekly WFH limit is 2 days' (HTTP 422).</t>
  </si>
  <si>
    <t xml:space="preserve">WFH-005</t>
  </si>
  <si>
    <t xml:space="preserve">Week boundary is Monday to Sunday</t>
  </si>
  <si>
    <t xml:space="preserve">maxDaysPerWeek=2</t>
  </si>
  <si>
    <t xml:space="preserve">1. Request Sun and Mon + Tue</t>
  </si>
  <si>
    <t xml:space="preserve">2026-09-06, 09-07, 09-08</t>
  </si>
  <si>
    <t xml:space="preserve">Sun counts in the earlier week; Mon-Tue in the next. No weekly breach.</t>
  </si>
  <si>
    <t xml:space="preserve">WFH-006</t>
  </si>
  <si>
    <t xml:space="preserve">Monthly limit exceeded</t>
  </si>
  <si>
    <t xml:space="preserve">maxDaysPerMonth e.g. 8</t>
  </si>
  <si>
    <t xml:space="preserve">1. Request days that push the month over 8</t>
  </si>
  <si>
    <t xml:space="preserve">9th day</t>
  </si>
  <si>
    <t xml:space="preserve">Error 'Monthly WFH limit is 8 days'.</t>
  </si>
  <si>
    <t xml:space="preserve">WFH-007</t>
  </si>
  <si>
    <t xml:space="preserve">Consecutive days limit exceeded</t>
  </si>
  <si>
    <t xml:space="preserve">maxConsecutiveDays e.g. 3</t>
  </si>
  <si>
    <t xml:space="preserve">1. Request 4 consecutive days</t>
  </si>
  <si>
    <t xml:space="preserve">4 days</t>
  </si>
  <si>
    <t xml:space="preserve">Error 'Consecutive WFH limit is 3 days'.</t>
  </si>
  <si>
    <t xml:space="preserve">WFH-008</t>
  </si>
  <si>
    <t xml:space="preserve">Minimum notice not met</t>
  </si>
  <si>
    <t xml:space="preserve">minimumNoticeDays=2</t>
  </si>
  <si>
    <t xml:space="preserve">1. Request WFH for tomorrow</t>
  </si>
  <si>
    <t xml:space="preserve">tomorrow</t>
  </si>
  <si>
    <t xml:space="preserve">Rejected with minimum-notice error.</t>
  </si>
  <si>
    <t xml:space="preserve">Executed probe: This leave requires at least 2 calendar days notice. Logic checked by running the backend code; UI / API / database flow NOT tested.</t>
  </si>
  <si>
    <t xml:space="preserve">WFH-009</t>
  </si>
  <si>
    <t xml:space="preserve">Too far in advance</t>
  </si>
  <si>
    <t xml:space="preserve">maximumAdvanceDays=30</t>
  </si>
  <si>
    <t xml:space="preserve">1. Request a date 60 days ahead</t>
  </si>
  <si>
    <t xml:space="preserve">+60 days</t>
  </si>
  <si>
    <t xml:space="preserve">Rejected with maximum-advance error.</t>
  </si>
  <si>
    <t xml:space="preserve">WFH-010</t>
  </si>
  <si>
    <t xml:space="preserve">Approval</t>
  </si>
  <si>
    <t xml:space="preserve">Manager approves WFH</t>
  </si>
  <si>
    <t xml:space="preserve">Pending WFH request</t>
  </si>
  <si>
    <t xml:space="preserve">1. Approve</t>
  </si>
  <si>
    <t xml:space="preserve">Status Approved; attendance for that date reflects remote work.</t>
  </si>
  <si>
    <t xml:space="preserve">WFH-011</t>
  </si>
  <si>
    <t xml:space="preserve">Manager rejects WFH</t>
  </si>
  <si>
    <t xml:space="preserve">1. Reject with reason</t>
  </si>
  <si>
    <t xml:space="preserve">Status Rejected; employee notified.</t>
  </si>
  <si>
    <t xml:space="preserve">WFH-012</t>
  </si>
  <si>
    <t xml:space="preserve">Employee cannot approve own request</t>
  </si>
  <si>
    <t xml:space="preserve">Employee is own approver</t>
  </si>
  <si>
    <t xml:space="preserve">1. Try approving own request</t>
  </si>
  <si>
    <t xml:space="preserve">Blocked.</t>
  </si>
  <si>
    <t xml:space="preserve">CAL-001</t>
  </si>
  <si>
    <t xml:space="preserve">Calendar</t>
  </si>
  <si>
    <t xml:space="preserve">Month view shows holidays and events</t>
  </si>
  <si>
    <t xml:space="preserve">Holidays configured</t>
  </si>
  <si>
    <t xml:space="preserve">1. Open Calendar</t>
  </si>
  <si>
    <t xml:space="preserve">Holidays and leave/WFH days appear on the correct dates.</t>
  </si>
  <si>
    <t xml:space="preserve">frontend app/dashboard/calendar</t>
  </si>
  <si>
    <t xml:space="preserve">CAL-002</t>
  </si>
  <si>
    <t xml:space="preserve">Day drawer shows day details</t>
  </si>
  <si>
    <t xml:space="preserve">1. Click a date</t>
  </si>
  <si>
    <t xml:space="preserve">Drawer shows holiday/leave/attendance info for that day.</t>
  </si>
  <si>
    <t xml:space="preserve">frontend app/dashboard/calendar/CalendarDayDrawer.tsx</t>
  </si>
  <si>
    <t xml:space="preserve">CAL-003</t>
  </si>
  <si>
    <t xml:space="preserve">Policy</t>
  </si>
  <si>
    <t xml:space="preserve">Create attendance policy version</t>
  </si>
  <si>
    <t xml:space="preserve">manage_workforce_policies</t>
  </si>
  <si>
    <t xml:space="preserve">1. Workforce Policies &gt; Attendance
2. Create new version
3. Publish</t>
  </si>
  <si>
    <t xml:space="preserve">New version saved with effective date; old version remains for past dates.</t>
  </si>
  <si>
    <t xml:space="preserve">backend src/schemas/WorkforcePolicy/AttendancePolicyVersion.schema.ts</t>
  </si>
  <si>
    <t xml:space="preserve">CAL-004</t>
  </si>
  <si>
    <t xml:space="preserve">Invalid status calculation basis</t>
  </si>
  <si>
    <t xml:space="preserve">1. Submit policy with unsupported calculation basis</t>
  </si>
  <si>
    <t xml:space="preserve">Rejected by validation.</t>
  </si>
  <si>
    <t xml:space="preserve">backend src/schemas/WorkforcePolicy/AttendancePolicyVersion.schema.test.ts</t>
  </si>
  <si>
    <t xml:space="preserve">CAL-005</t>
  </si>
  <si>
    <t xml:space="preserve">Office geofence settings validation</t>
  </si>
  <si>
    <t xml:space="preserve">1. Enable geofence without radius/coordinates</t>
  </si>
  <si>
    <t xml:space="preserve">Rejected until coordinates and radius are valid.</t>
  </si>
  <si>
    <t xml:space="preserve">CAL-006</t>
  </si>
  <si>
    <t xml:space="preserve">Upload holidays via Excel</t>
  </si>
  <si>
    <t xml:space="preserve">Valid holiday sheet</t>
  </si>
  <si>
    <t xml:space="preserve">1. Policies &gt; Holidays
2. Upload Excel</t>
  </si>
  <si>
    <t xml:space="preserve">10 holidays</t>
  </si>
  <si>
    <t xml:space="preserve">Holidays saved and visible in calendar.</t>
  </si>
  <si>
    <t xml:space="preserve">backend PUT /policy/holidays/excel</t>
  </si>
  <si>
    <t xml:space="preserve">CAL-007</t>
  </si>
  <si>
    <t xml:space="preserve">Upload invalid holiday Excel</t>
  </si>
  <si>
    <t xml:space="preserve">1. Upload sheet with bad dates</t>
  </si>
  <si>
    <t xml:space="preserve">Rejected with row errors.</t>
  </si>
  <si>
    <t xml:space="preserve">CAL-008</t>
  </si>
  <si>
    <t xml:space="preserve">Employee cannot edit workforce policy</t>
  </si>
  <si>
    <t xml:space="preserve">1. Open /dashboard/workforce-policies</t>
  </si>
  <si>
    <t xml:space="preserve">Not accessible or read-only.</t>
  </si>
  <si>
    <t xml:space="preserve">backend src/services/workforcePolicy/workforcePolicyAccess.test.ts</t>
  </si>
  <si>
    <t xml:space="preserve">LV-001</t>
  </si>
  <si>
    <t xml:space="preserve">Apply</t>
  </si>
  <si>
    <t xml:space="preserve">Apply full-day leave</t>
  </si>
  <si>
    <t xml:space="preserve">Leave balance available</t>
  </si>
  <si>
    <t xml:space="preserve">1. My Leave &gt; Apply
2. Choose type, dates, reason
3. Submit</t>
  </si>
  <si>
    <t xml:space="preserve">Casual Leave 2026-08-24, reason 'Family event'</t>
  </si>
  <si>
    <t xml:space="preserve">Request Pending; balance reserved/charged per policy.</t>
  </si>
  <si>
    <t xml:space="preserve">backend src/services/leave/leaveRequest.service.ts</t>
  </si>
  <si>
    <t xml:space="preserve">LV-002</t>
  </si>
  <si>
    <t xml:space="preserve">Holiday inside range is not charged</t>
  </si>
  <si>
    <t xml:space="preserve">Holiday on 2026-08-25</t>
  </si>
  <si>
    <t xml:space="preserve">1. Apply leave 24-26 Aug</t>
  </si>
  <si>
    <t xml:space="preserve">3 days requested</t>
  </si>
  <si>
    <t xml:space="preserve">Requested 3, charged 2.</t>
  </si>
  <si>
    <t xml:space="preserve">backend src/services/leave/leaveRequestCalculator.test.ts</t>
  </si>
  <si>
    <t xml:space="preserve">Verified by existing test leaveRequestCalculator.test.ts (ran OK). Logic checked by running the backend code; UI / API / database flow NOT tested.</t>
  </si>
  <si>
    <t xml:space="preserve">LV-003</t>
  </si>
  <si>
    <t xml:space="preserve">Sandwich rule charges weekend between leave days</t>
  </si>
  <si>
    <t xml:space="preserve">Sandwich rule on; Sat-Sun weekly off</t>
  </si>
  <si>
    <t xml:space="preserve">1. Apply Fri 21 Aug to Mon 24 Aug</t>
  </si>
  <si>
    <t xml:space="preserve">Charged 4 days; Sat/Sun reason 'sandwich_rule'.</t>
  </si>
  <si>
    <t xml:space="preserve">LV-004</t>
  </si>
  <si>
    <t xml:space="preserve">Half-day holiday charges 0.5</t>
  </si>
  <si>
    <t xml:space="preserve">Half-day mandatory holiday</t>
  </si>
  <si>
    <t xml:space="preserve">1. Apply leave on that day</t>
  </si>
  <si>
    <t xml:space="preserve">Charged 0.5.</t>
  </si>
  <si>
    <t xml:space="preserve">LV-005</t>
  </si>
  <si>
    <t xml:space="preserve">Hourly leave</t>
  </si>
  <si>
    <t xml:space="preserve">Leave type allows hours</t>
  </si>
  <si>
    <t xml:space="preserve">1. Apply 2.5 hours</t>
  </si>
  <si>
    <t xml:space="preserve">2.5 h</t>
  </si>
  <si>
    <t xml:space="preserve">Charged 2.5 units.</t>
  </si>
  <si>
    <t xml:space="preserve">LV-006</t>
  </si>
  <si>
    <t xml:space="preserve">Half-day leave</t>
  </si>
  <si>
    <t xml:space="preserve">Type allows half day</t>
  </si>
  <si>
    <t xml:space="preserve">1. Choose half day</t>
  </si>
  <si>
    <t xml:space="preserve">0.5 day</t>
  </si>
  <si>
    <t xml:space="preserve">LV-007</t>
  </si>
  <si>
    <t xml:space="preserve">Leave type not allowed during probation</t>
  </si>
  <si>
    <t xml:space="preserve">Probationer; rule 'after_confirmation'</t>
  </si>
  <si>
    <t xml:space="preserve">1. Apply that leave type</t>
  </si>
  <si>
    <t xml:space="preserve">Rejected (not eligible until confirmed).</t>
  </si>
  <si>
    <t xml:space="preserve">LV-008</t>
  </si>
  <si>
    <t xml:space="preserve">minimumNoticeDays&gt;0</t>
  </si>
  <si>
    <t xml:space="preserve">1. Apply for tomorrow</t>
  </si>
  <si>
    <t xml:space="preserve">backend src/services/leave/leaveRequestCalculator.utils.ts</t>
  </si>
  <si>
    <t xml:space="preserve">LV-009</t>
  </si>
  <si>
    <t xml:space="preserve">Range longer than 366 days</t>
  </si>
  <si>
    <t xml:space="preserve">1. Apply 2026-01-01 to 2027-01-02</t>
  </si>
  <si>
    <t xml:space="preserve">367 days</t>
  </si>
  <si>
    <t xml:space="preserve">Error 'A leave request cannot span more than 366 calendar days'.</t>
  </si>
  <si>
    <t xml:space="preserve">Executed probe: A leave request cannot span more than 366 calendar days. Logic checked by running the backend code; UI / API / database flow NOT tested.</t>
  </si>
  <si>
    <t xml:space="preserve">LV-010</t>
  </si>
  <si>
    <t xml:space="preserve">Reason shorter than 3 characters</t>
  </si>
  <si>
    <t xml:space="preserve">1. Enter reason 'ab'</t>
  </si>
  <si>
    <t xml:space="preserve">Error 'Leave reason must be at least 3 characters'.</t>
  </si>
  <si>
    <t xml:space="preserve">LV-011</t>
  </si>
  <si>
    <t xml:space="preserve">Overlapping leave request</t>
  </si>
  <si>
    <t xml:space="preserve">Active request exists for 24 Aug</t>
  </si>
  <si>
    <t xml:space="preserve">1. Apply again for 24 Aug</t>
  </si>
  <si>
    <t xml:space="preserve">Error 'An active leave request already overlaps these dates' (409).</t>
  </si>
  <si>
    <t xml:space="preserve">LV-012</t>
  </si>
  <si>
    <t xml:space="preserve">Insufficient balance (negative not allowed)</t>
  </si>
  <si>
    <t xml:space="preserve">Balance 1, negative balance off</t>
  </si>
  <si>
    <t xml:space="preserve">1. Apply 3 days</t>
  </si>
  <si>
    <t xml:space="preserve">Rejected for insufficient balance.</t>
  </si>
  <si>
    <t xml:space="preserve">backend src/services/leave/leaveBalance.service.ts</t>
  </si>
  <si>
    <t xml:space="preserve">LV-013</t>
  </si>
  <si>
    <t xml:space="preserve">Negative balance within allowed limit</t>
  </si>
  <si>
    <t xml:space="preserve">negativeBalanceAllowed, max 2</t>
  </si>
  <si>
    <t xml:space="preserve">1. Apply days that take balance to -2
2. Then -3</t>
  </si>
  <si>
    <t xml:space="preserve">-2 accepted; -3 rejected.</t>
  </si>
  <si>
    <t xml:space="preserve">LV-014</t>
  </si>
  <si>
    <t xml:space="preserve">Leave year starts April 1</t>
  </si>
  <si>
    <t xml:space="preserve">Leave year start 1 Apr</t>
  </si>
  <si>
    <t xml:space="preserve">1. Apply on 31 Mar and on 1 Apr</t>
  </si>
  <si>
    <t xml:space="preserve">2026-03-31 / 2026-04-01</t>
  </si>
  <si>
    <t xml:space="preserve">31 Mar uses the previous leave year balance; 1 Apr uses the new year.</t>
  </si>
  <si>
    <t xml:space="preserve">Executed probe: 31 Mar -&gt; {"leaveYearKey":"2025-04-01:2026-03-31","leaveYearStart":"2025-04-01","leaveYearEnd":"2026-03-31"} ; 1 Apr -&gt; {"leaveYearKey":"2026-04-01:2027-03-31","leaveYearStart":"2026-04-01","leaveYearEnd":"2027-03-31"}. Logic checked by running the backend code; UI / API / database flow NOT tested.</t>
  </si>
  <si>
    <t xml:space="preserve">LV-015</t>
  </si>
  <si>
    <t xml:space="preserve">HR applies on behalf of employee</t>
  </si>
  <si>
    <t xml:space="preserve">Permission to submit on behalf</t>
  </si>
  <si>
    <t xml:space="preserve">1. Apply leave for an employee</t>
  </si>
  <si>
    <t xml:space="preserve">Created for that employee; employee without permission gets 403.</t>
  </si>
  <si>
    <t xml:space="preserve">LV-016</t>
  </si>
  <si>
    <t xml:space="preserve">Supporting document required from 2 days</t>
  </si>
  <si>
    <t xml:space="preserve">Rule: documentRequiredFromUnits=2, allow later, due 2 days after leave end</t>
  </si>
  <si>
    <t xml:space="preserve">1. Apply 24-25 Aug</t>
  </si>
  <si>
    <t xml:space="preserve">2 days</t>
  </si>
  <si>
    <t xml:space="preserve">Request shows document required; due date 27 Aug.</t>
  </si>
  <si>
    <t xml:space="preserve">LV-017</t>
  </si>
  <si>
    <t xml:space="preserve">Document not required for 1 day</t>
  </si>
  <si>
    <t xml:space="preserve">Same rule</t>
  </si>
  <si>
    <t xml:space="preserve">1. Apply 1 day</t>
  </si>
  <si>
    <t xml:space="preserve">1 day</t>
  </si>
  <si>
    <t xml:space="preserve">No document requirement.</t>
  </si>
  <si>
    <t xml:space="preserve">LV-018</t>
  </si>
  <si>
    <t xml:space="preserve">Attachment limits</t>
  </si>
  <si>
    <t xml:space="preserve">1. Attach 5 files
2. Attach a 6th
3. Attach file &gt;5 MB
4. Attach .docx</t>
  </si>
  <si>
    <t xml:space="preserve">6th rejected ('at most 5'); &gt;5 MB rejected ('5 MB or smaller'); only PDF/JPG/PNG allowed.</t>
  </si>
  <si>
    <t xml:space="preserve">LV-019</t>
  </si>
  <si>
    <t xml:space="preserve">Same attachment used twice</t>
  </si>
  <si>
    <t xml:space="preserve">1. Attach the same uploaded file twice</t>
  </si>
  <si>
    <t xml:space="preserve">Error 'A leave attachment can be included only once'.</t>
  </si>
  <si>
    <t xml:space="preserve">LV-020</t>
  </si>
  <si>
    <t xml:space="preserve">HR verifies submitted document</t>
  </si>
  <si>
    <t xml:space="preserve">Documents submitted</t>
  </si>
  <si>
    <t xml:space="preserve">1. Open request
2. Verify document</t>
  </si>
  <si>
    <t xml:space="preserve">Document status Verified.</t>
  </si>
  <si>
    <t xml:space="preserve">LV-021</t>
  </si>
  <si>
    <t xml:space="preserve">Waive document needs reason</t>
  </si>
  <si>
    <t xml:space="preserve">Pending document requirement</t>
  </si>
  <si>
    <t xml:space="preserve">1. Waive without reason</t>
  </si>
  <si>
    <t xml:space="preserve">Error 'A document waiver reason is required'.</t>
  </si>
  <si>
    <t xml:space="preserve">LV-022</t>
  </si>
  <si>
    <t xml:space="preserve">Manager cannot verify or waive documents</t>
  </si>
  <si>
    <t xml:space="preserve">1. Try to verify/waive</t>
  </si>
  <si>
    <t xml:space="preserve">Error 'Only HR or a company administrator can verify or waive leave documents'.</t>
  </si>
  <si>
    <t xml:space="preserve">LV-023</t>
  </si>
  <si>
    <t xml:space="preserve">Manager approves leave</t>
  </si>
  <si>
    <t xml:space="preserve">Pending leave from reportee</t>
  </si>
  <si>
    <t xml:space="preserve">1. Open request
2. Approve</t>
  </si>
  <si>
    <t xml:space="preserve">Status Approved; balance deducted; calendar/attendance show leave.</t>
  </si>
  <si>
    <t xml:space="preserve">LV-024</t>
  </si>
  <si>
    <t xml:space="preserve">Manager rejects leave</t>
  </si>
  <si>
    <t xml:space="preserve">Pending</t>
  </si>
  <si>
    <t xml:space="preserve">Status Rejected; balance restored.</t>
  </si>
  <si>
    <t xml:space="preserve">LV-025</t>
  </si>
  <si>
    <t xml:space="preserve">Cannot approve own leave</t>
  </si>
  <si>
    <t xml:space="preserve">Manager's own request pending with them as approver</t>
  </si>
  <si>
    <t xml:space="preserve">1. Try to approve</t>
  </si>
  <si>
    <t xml:space="preserve">Error 'You cannot approve your own leave request' (403).</t>
  </si>
  <si>
    <t xml:space="preserve">LV-026</t>
  </si>
  <si>
    <t xml:space="preserve">Cannot approve leave of unrelated employee</t>
  </si>
  <si>
    <t xml:space="preserve">Employee outside scope</t>
  </si>
  <si>
    <t xml:space="preserve">1. Approve their leave via API</t>
  </si>
  <si>
    <t xml:space="preserve">Error 'You cannot approve leave for this employee'.</t>
  </si>
  <si>
    <t xml:space="preserve">LV-027</t>
  </si>
  <si>
    <t xml:space="preserve">Employee cannot view others' leave</t>
  </si>
  <si>
    <t xml:space="preserve">1. Open another employee's leave by id</t>
  </si>
  <si>
    <t xml:space="preserve">Error 'You cannot view this leave request'.</t>
  </si>
  <si>
    <t xml:space="preserve">LV-028</t>
  </si>
  <si>
    <t xml:space="preserve">'Any' rule: first approver decides the step</t>
  </si>
  <si>
    <t xml:space="preserve">Step with 2 approvers, rule any</t>
  </si>
  <si>
    <t xml:space="preserve">1. Approver 1 approves</t>
  </si>
  <si>
    <t xml:space="preserve">Step approved; approver 2 skipped; flow moves to next step.</t>
  </si>
  <si>
    <t xml:space="preserve">backend src/services/approval/approvalDecision.test.ts</t>
  </si>
  <si>
    <t xml:space="preserve">Verified by existing test approvalDecision.test.ts (ran OK). Logic checked by running the backend code; UI / API / database flow NOT tested.</t>
  </si>
  <si>
    <t xml:space="preserve">LV-029</t>
  </si>
  <si>
    <t xml:space="preserve">'All' rule: waits for every approver</t>
  </si>
  <si>
    <t xml:space="preserve">Step with 2 approvers, rule all</t>
  </si>
  <si>
    <t xml:space="preserve">1. Approver 1 approves
2. Approver 2 approves</t>
  </si>
  <si>
    <t xml:space="preserve">Step stays pending after first; completes after second.</t>
  </si>
  <si>
    <t xml:space="preserve">LV-030</t>
  </si>
  <si>
    <t xml:space="preserve">Rejection at any step ends the request</t>
  </si>
  <si>
    <t xml:space="preserve">2-step flow</t>
  </si>
  <si>
    <t xml:space="preserve">1. Approve step 1
2. Reject at step 2</t>
  </si>
  <si>
    <t xml:space="preserve">Overall status Rejected; no further steps.</t>
  </si>
  <si>
    <t xml:space="preserve">LV-031</t>
  </si>
  <si>
    <t xml:space="preserve">User who is not an approver cannot decide</t>
  </si>
  <si>
    <t xml:space="preserve">1. Call decision API as non-approver</t>
  </si>
  <si>
    <t xml:space="preserve">Rejected.</t>
  </si>
  <si>
    <t xml:space="preserve">LV-032</t>
  </si>
  <si>
    <t xml:space="preserve">Latest published workflow version applies</t>
  </si>
  <si>
    <t xml:space="preserve">Two published versions with different effective dates</t>
  </si>
  <si>
    <t xml:space="preserve">1. Submit a request after the newer version's date</t>
  </si>
  <si>
    <t xml:space="preserve">Newer version used; older used for earlier dates.</t>
  </si>
  <si>
    <t xml:space="preserve">backend src/services/approval/approvalWorkflowVersion.test.ts</t>
  </si>
  <si>
    <t xml:space="preserve">Verified by existing test approvalWorkflowVersion.test.ts (ran OK). Logic checked by running the backend code; UI / API / database flow NOT tested.</t>
  </si>
  <si>
    <t xml:space="preserve">LV-033</t>
  </si>
  <si>
    <t xml:space="preserve">Cancellation</t>
  </si>
  <si>
    <t xml:space="preserve">Cancel approved leave needs a reason</t>
  </si>
  <si>
    <t xml:space="preserve">Approved leave</t>
  </si>
  <si>
    <t xml:space="preserve">1. Request cancellation without reason</t>
  </si>
  <si>
    <t xml:space="preserve">Rejected; reason required.</t>
  </si>
  <si>
    <t xml:space="preserve">backend src/schemas/Leave/LeaveCancellationRequest.schema.test.ts</t>
  </si>
  <si>
    <t xml:space="preserve">LV-034</t>
  </si>
  <si>
    <t xml:space="preserve">Approved cancellation restores balance</t>
  </si>
  <si>
    <t xml:space="preserve">Cancellation approved</t>
  </si>
  <si>
    <t xml:space="preserve">1. Approver approves cancellation</t>
  </si>
  <si>
    <t xml:space="preserve">Leave cancelled; balance restored.</t>
  </si>
  <si>
    <t xml:space="preserve">backend src/services/leave/leaveCancellationRequest.service.ts</t>
  </si>
  <si>
    <t xml:space="preserve">LV-035</t>
  </si>
  <si>
    <t xml:space="preserve">Encashment</t>
  </si>
  <si>
    <t xml:space="preserve">Encash leave with positive units</t>
  </si>
  <si>
    <t xml:space="preserve">Encashable balance</t>
  </si>
  <si>
    <t xml:space="preserve">1. Request encashment of 2 days</t>
  </si>
  <si>
    <t xml:space="preserve">2</t>
  </si>
  <si>
    <t xml:space="preserve">Request created and routed for approval.</t>
  </si>
  <si>
    <t xml:space="preserve">backend src/services/leave/leaveEncashmentRequest.service.ts</t>
  </si>
  <si>
    <t xml:space="preserve">LV-036</t>
  </si>
  <si>
    <t xml:space="preserve">Zero or negative units</t>
  </si>
  <si>
    <t xml:space="preserve">1. Request 0 and -1 units</t>
  </si>
  <si>
    <t xml:space="preserve">0, -1</t>
  </si>
  <si>
    <t xml:space="preserve">Rejected; units must be positive.</t>
  </si>
  <si>
    <t xml:space="preserve">backend src/schemas/Leave/LeaveEncashmentRequest.schema.test.ts</t>
  </si>
  <si>
    <t xml:space="preserve">LV-037</t>
  </si>
  <si>
    <t xml:space="preserve">Balance</t>
  </si>
  <si>
    <t xml:space="preserve">Accrual credits balance per policy</t>
  </si>
  <si>
    <t xml:space="preserve">Monthly accrual policy</t>
  </si>
  <si>
    <t xml:space="preserve">1. Run accrual for the month</t>
  </si>
  <si>
    <t xml:space="preserve">Balances increase by policy amount.</t>
  </si>
  <si>
    <t xml:space="preserve">backend src/services/leave/leaveAccrualCalculator.utils.ts</t>
  </si>
  <si>
    <t xml:space="preserve">LV-038</t>
  </si>
  <si>
    <t xml:space="preserve">Year-end carry forward and lapse</t>
  </si>
  <si>
    <t xml:space="preserve">Year-end rules configured</t>
  </si>
  <si>
    <t xml:space="preserve">1. Leave Management &gt; Year end
2. Run</t>
  </si>
  <si>
    <t xml:space="preserve">Balance carried forward up to limit; remainder lapses.</t>
  </si>
  <si>
    <t xml:space="preserve">backend src/services/leave/leaveYearEndCalculator.utils.ts</t>
  </si>
  <si>
    <t xml:space="preserve">LV-039</t>
  </si>
  <si>
    <t xml:space="preserve">HR adjusts a balance manually</t>
  </si>
  <si>
    <t xml:space="preserve">manage_leave_balances</t>
  </si>
  <si>
    <t xml:space="preserve">1. Open balances
2. Adjust with reason</t>
  </si>
  <si>
    <t xml:space="preserve">+1</t>
  </si>
  <si>
    <t xml:space="preserve">Balance updated; entry in history.</t>
  </si>
  <si>
    <t xml:space="preserve">frontend app/dashboard/leave-management/components/LeaveBalancesPanel.tsx</t>
  </si>
  <si>
    <t xml:space="preserve">LV-040</t>
  </si>
  <si>
    <t xml:space="preserve">Create leave type and policy</t>
  </si>
  <si>
    <t xml:space="preserve">1. Leave Management &gt; Leave type &gt; Add
2. Add to policy
3. Save</t>
  </si>
  <si>
    <t xml:space="preserve">Casual Leave, 12 days</t>
  </si>
  <si>
    <t xml:space="preserve">Type available for employees assigned the policy.</t>
  </si>
  <si>
    <t xml:space="preserve">frontend app/dashboard/leave-management/components/LeaveTypeDrawer.tsx</t>
  </si>
  <si>
    <t xml:space="preserve">CO-001</t>
  </si>
  <si>
    <t xml:space="preserve">Eligibility</t>
  </si>
  <si>
    <t xml:space="preserve">Worked 239 minutes on holiday earns nothing</t>
  </si>
  <si>
    <t xml:space="preserve">Half-day=240, full-day=480</t>
  </si>
  <si>
    <t xml:space="preserve">1. Work 239 min on a holiday
2. Claim comp-off</t>
  </si>
  <si>
    <t xml:space="preserve">239</t>
  </si>
  <si>
    <t xml:space="preserve">Eligible units 0; claim not allowed.</t>
  </si>
  <si>
    <t xml:space="preserve">backend src/services/compOff/compOffClaim.test.ts</t>
  </si>
  <si>
    <t xml:space="preserve">Verified by existing test compOffClaim.test.ts (ran OK). Logic checked by running the backend code; UI / API / database flow NOT tested.</t>
  </si>
  <si>
    <t xml:space="preserve">CO-002</t>
  </si>
  <si>
    <t xml:space="preserve">Worked 240 minutes earns half day</t>
  </si>
  <si>
    <t xml:space="preserve">Same</t>
  </si>
  <si>
    <t xml:space="preserve">1. Work 240 min</t>
  </si>
  <si>
    <t xml:space="preserve">240</t>
  </si>
  <si>
    <t xml:space="preserve">Eligible units 0.5.</t>
  </si>
  <si>
    <t xml:space="preserve">CO-003</t>
  </si>
  <si>
    <t xml:space="preserve">Worked 479 minutes still half day</t>
  </si>
  <si>
    <t xml:space="preserve">1. Work 479 min</t>
  </si>
  <si>
    <t xml:space="preserve">479</t>
  </si>
  <si>
    <t xml:space="preserve">CO-004</t>
  </si>
  <si>
    <t xml:space="preserve">Worked 480 minutes earns full day</t>
  </si>
  <si>
    <t xml:space="preserve">1. Work 480 min</t>
  </si>
  <si>
    <t xml:space="preserve">480</t>
  </si>
  <si>
    <t xml:space="preserve">Eligible units 1.</t>
  </si>
  <si>
    <t xml:space="preserve">CO-005</t>
  </si>
  <si>
    <t xml:space="preserve">Claim</t>
  </si>
  <si>
    <t xml:space="preserve">Approve comp-off claim</t>
  </si>
  <si>
    <t xml:space="preserve">Pending claim</t>
  </si>
  <si>
    <t xml:space="preserve">Comp-off lot credited with expiry date.</t>
  </si>
  <si>
    <t xml:space="preserve">backend src/services/compOff/</t>
  </si>
  <si>
    <t xml:space="preserve">CO-006</t>
  </si>
  <si>
    <t xml:space="preserve">Usage</t>
  </si>
  <si>
    <t xml:space="preserve">Comp-off used before newer lots (FIFO)</t>
  </si>
  <si>
    <t xml:space="preserve">Lots: 1 day (older), 1 day (newer)</t>
  </si>
  <si>
    <t xml:space="preserve">1. Take 1.5 days comp-off</t>
  </si>
  <si>
    <t xml:space="preserve">1.5</t>
  </si>
  <si>
    <t xml:space="preserve">Uses the older lot fully, then 0.5 from the newer.</t>
  </si>
  <si>
    <t xml:space="preserve">backend src/services/compOff/compOffCredit.utils.test.ts</t>
  </si>
  <si>
    <t xml:space="preserve">Verified by existing test compOffCredit.utils.test.ts (ran OK). Logic checked by running the backend code; UI / API / database flow NOT tested.</t>
  </si>
  <si>
    <t xml:space="preserve">CO-007</t>
  </si>
  <si>
    <t xml:space="preserve">Expired lot is skipped</t>
  </si>
  <si>
    <t xml:space="preserve">Lot expired yesterday</t>
  </si>
  <si>
    <t xml:space="preserve">1. Apply comp-off leave today</t>
  </si>
  <si>
    <t xml:space="preserve">Expired lot not used; insufficient balance if nothing else.</t>
  </si>
  <si>
    <t xml:space="preserve">CO-008</t>
  </si>
  <si>
    <t xml:space="preserve">Lot is still usable on its expiry date</t>
  </si>
  <si>
    <t xml:space="preserve">Lot expires today</t>
  </si>
  <si>
    <t xml:space="preserve">1. Apply comp-off leave for today</t>
  </si>
  <si>
    <t xml:space="preserve">Lot is used.</t>
  </si>
  <si>
    <t xml:space="preserve">CO-009</t>
  </si>
  <si>
    <t xml:space="preserve">Insufficient comp-off balance</t>
  </si>
  <si>
    <t xml:space="preserve">Balance 0.5</t>
  </si>
  <si>
    <t xml:space="preserve">1. Apply 1 day comp-off</t>
  </si>
  <si>
    <t xml:space="preserve">1</t>
  </si>
  <si>
    <t xml:space="preserve">Request rejected (cannot cover usage).</t>
  </si>
  <si>
    <t xml:space="preserve">CO-010</t>
  </si>
  <si>
    <t xml:space="preserve">Multi-day request must be covered for every day</t>
  </si>
  <si>
    <t xml:space="preserve">Balance covers day 1 only</t>
  </si>
  <si>
    <t xml:space="preserve">1. Apply 2 days comp-off</t>
  </si>
  <si>
    <t xml:space="preserve">Rejected if any day cannot be covered.</t>
  </si>
  <si>
    <t xml:space="preserve">CO-011</t>
  </si>
  <si>
    <t xml:space="preserve">Compoff claims panel visible to HR</t>
  </si>
  <si>
    <t xml:space="preserve">1. Leave Management &gt; Comp-off claims</t>
  </si>
  <si>
    <t xml:space="preserve">List of claims with status and units.</t>
  </si>
  <si>
    <t xml:space="preserve">frontend app/dashboard/leave-management/components/CompOffClaimsPanel.tsx</t>
  </si>
  <si>
    <t xml:space="preserve">PAYS-001</t>
  </si>
  <si>
    <t xml:space="preserve">Components</t>
  </si>
  <si>
    <t xml:space="preserve">Create salary component</t>
  </si>
  <si>
    <t xml:space="preserve">manage_payroll_configuration</t>
  </si>
  <si>
    <t xml:space="preserve">1. Payroll &gt; Salary components &gt; Add
2. Enter name, code, category Earning
3. Save</t>
  </si>
  <si>
    <t xml:space="preserve">Basic / BASIC / Earning</t>
  </si>
  <si>
    <t xml:space="preserve">Component saved with normalized code and category.</t>
  </si>
  <si>
    <t xml:space="preserve">backend src/schemas/Payroll/SalaryComponent.schema.test.ts</t>
  </si>
  <si>
    <t xml:space="preserve">PAYS-002</t>
  </si>
  <si>
    <t xml:space="preserve">Invalid category or code</t>
  </si>
  <si>
    <t xml:space="preserve">1. Save component with unsupported category
2. Save with invalid code characters</t>
  </si>
  <si>
    <t xml:space="preserve">category='bonusX'; code='b a$'</t>
  </si>
  <si>
    <t xml:space="preserve">PAYS-003</t>
  </si>
  <si>
    <t xml:space="preserve">Component code is normalized</t>
  </si>
  <si>
    <t xml:space="preserve">1. Save code ' basic '</t>
  </si>
  <si>
    <t xml:space="preserve">' basic '</t>
  </si>
  <si>
    <t xml:space="preserve">Stored in normalized form (trimmed, upper-case).</t>
  </si>
  <si>
    <t xml:space="preserve">PAYS-004</t>
  </si>
  <si>
    <t xml:space="preserve">Structure</t>
  </si>
  <si>
    <t xml:space="preserve">Salary structure preview totals</t>
  </si>
  <si>
    <t xml:space="preserve">Structure with earnings and deductions</t>
  </si>
  <si>
    <t xml:space="preserve">1. Salary structures &gt; Preview with BASIC 50,000 fixed, HRA 40% of Basic, PF 12% of Basic (deduction), Bonus variable (0)</t>
  </si>
  <si>
    <t xml:space="preserve">BASIC 50,000; HRA 40%; PF 12%</t>
  </si>
  <si>
    <t xml:space="preserve">Monthly gross 70,000 (50,000 + HRA 20,000), deductions 6,000, net 64,000, annual net 7,68,000.</t>
  </si>
  <si>
    <t xml:space="preserve">backend src/services/payroll/salaryStructureCalculator.test.ts</t>
  </si>
  <si>
    <t xml:space="preserve">Verified by existing test salaryStructureCalculator.test.ts (ran OK). Logic checked by running the backend code; UI / API / database flow NOT tested.</t>
  </si>
  <si>
    <t xml:space="preserve">PAYS-005</t>
  </si>
  <si>
    <t xml:space="preserve">Percentage component follows its base component</t>
  </si>
  <si>
    <t xml:space="preserve">HRA = 40% of BASIC</t>
  </si>
  <si>
    <t xml:space="preserve">1. Set employee override BASIC = 60,000
2. Preview</t>
  </si>
  <si>
    <t xml:space="preserve">BASIC 50,000 -&gt; override 60,000</t>
  </si>
  <si>
    <t xml:space="preserve">BASIC 60,000, HRA 24,000, gross 84,000 (dependents recalculated from override).</t>
  </si>
  <si>
    <t xml:space="preserve">PAYS-006</t>
  </si>
  <si>
    <t xml:space="preserve">Circular dependency blocked</t>
  </si>
  <si>
    <t xml:space="preserve">A depends on B and B depends on A</t>
  </si>
  <si>
    <t xml:space="preserve">1. Save structure</t>
  </si>
  <si>
    <t xml:space="preserve">Rejected with circular dependency error.</t>
  </si>
  <si>
    <t xml:space="preserve">PAYS-007</t>
  </si>
  <si>
    <t xml:space="preserve">Employee override recalculates dependents</t>
  </si>
  <si>
    <t xml:space="preserve">Structure: BASIC 50,000, HRA 40% of Basic</t>
  </si>
  <si>
    <t xml:space="preserve">1. Override BASIC for one employee to 60,000
2. Preview</t>
  </si>
  <si>
    <t xml:space="preserve">60,000</t>
  </si>
  <si>
    <t xml:space="preserve">HRA changes to 24,000 automatically.</t>
  </si>
  <si>
    <t xml:space="preserve">PAYS-008</t>
  </si>
  <si>
    <t xml:space="preserve">Rounding to nearest minor unit</t>
  </si>
  <si>
    <t xml:space="preserve">Fractional result</t>
  </si>
  <si>
    <t xml:space="preserve">1. Preview with amounts that give fractions</t>
  </si>
  <si>
    <t xml:space="preserve">Amounts rounded exactly to paise with no drift.</t>
  </si>
  <si>
    <t xml:space="preserve">PAYS-009</t>
  </si>
  <si>
    <t xml:space="preserve">Compensation</t>
  </si>
  <si>
    <t xml:space="preserve">Assign compensation with effective dates</t>
  </si>
  <si>
    <t xml:space="preserve">manage_employee_compensation</t>
  </si>
  <si>
    <t xml:space="preserve">1. Employee compensation &gt; Assign
2. Pick structure, effective from, CTC</t>
  </si>
  <si>
    <t xml:space="preserve">from 2026-04-01</t>
  </si>
  <si>
    <t xml:space="preserve">Assignment saved; previous assignment end date derived automatically.</t>
  </si>
  <si>
    <t xml:space="preserve">backend src/services/payroll/employeeCompensation.test.ts</t>
  </si>
  <si>
    <t xml:space="preserve">PAYS-010</t>
  </si>
  <si>
    <t xml:space="preserve">Invalid compensation snapshot</t>
  </si>
  <si>
    <t xml:space="preserve">1. Save with missing structure or negative amount</t>
  </si>
  <si>
    <t xml:space="preserve">PAYS-011</t>
  </si>
  <si>
    <t xml:space="preserve">Employee sees only own compensation (safe view)</t>
  </si>
  <si>
    <t xml:space="preserve">Visibility enabled for employees</t>
  </si>
  <si>
    <t xml:space="preserve">1. Open My Profile &gt; compensation</t>
  </si>
  <si>
    <t xml:space="preserve">Only own current data; future and cancelled assignments hidden.</t>
  </si>
  <si>
    <t xml:space="preserve">PAYS-012</t>
  </si>
  <si>
    <t xml:space="preserve">Compensation visibility switched off</t>
  </si>
  <si>
    <t xml:space="preserve">Company setting hides compensation</t>
  </si>
  <si>
    <t xml:space="preserve">1. Open My Profile</t>
  </si>
  <si>
    <t xml:space="preserve">Compensation not shown to employee.</t>
  </si>
  <si>
    <t xml:space="preserve">PAYS-013</t>
  </si>
  <si>
    <t xml:space="preserve">Bulk import compensation from Excel</t>
  </si>
  <si>
    <t xml:space="preserve">Valid workbook</t>
  </si>
  <si>
    <t xml:space="preserve">1. Compensation &gt; Import
2. Upload
3. Confirm</t>
  </si>
  <si>
    <t xml:space="preserve">1,234.56</t>
  </si>
  <si>
    <t xml:space="preserve">Rows imported; amounts converted exactly to minor units (123456).</t>
  </si>
  <si>
    <t xml:space="preserve">backend src/services/payroll/employeeCompensationImport.test.ts</t>
  </si>
  <si>
    <t xml:space="preserve">PAYS-014</t>
  </si>
  <si>
    <t xml:space="preserve">Import with bad workbook</t>
  </si>
  <si>
    <t xml:space="preserve">1. Upload sheet with missing columns</t>
  </si>
  <si>
    <t xml:space="preserve">Rejected with parsing errors.</t>
  </si>
  <si>
    <t xml:space="preserve">PAYS-015</t>
  </si>
  <si>
    <t xml:space="preserve">Statutory</t>
  </si>
  <si>
    <t xml:space="preserve">Create statutory profile</t>
  </si>
  <si>
    <t xml:space="preserve">1. Statutory profiles &gt; Add India profile
2. Enable PF, ESI, PT, LWF</t>
  </si>
  <si>
    <t xml:space="preserve">Profile saved with provider validation.</t>
  </si>
  <si>
    <t xml:space="preserve">backend src/services/payroll/statutoryProfile.test.ts</t>
  </si>
  <si>
    <t xml:space="preserve">PAYS-016</t>
  </si>
  <si>
    <t xml:space="preserve">Employee statutory details (UAN, ESIC, PAN)</t>
  </si>
  <si>
    <t xml:space="preserve">manage_employee_statutory</t>
  </si>
  <si>
    <t xml:space="preserve">1. Open employee statutory
2. Enter details
3. Save</t>
  </si>
  <si>
    <t xml:space="preserve">Saved; validated per provider rules.</t>
  </si>
  <si>
    <t xml:space="preserve">backend src/services/payroll/employeeStatutory.test.ts</t>
  </si>
  <si>
    <t xml:space="preserve">PAYC-001</t>
  </si>
  <si>
    <t xml:space="preserve">PF/ESI on Basic 30,000 for full month</t>
  </si>
  <si>
    <t xml:space="preserve">PF + ESI enabled; paid 30/30; PF rate 12%</t>
  </si>
  <si>
    <t xml:space="preserve">1. Calculate run for an employee with BASIC 30,000</t>
  </si>
  <si>
    <t xml:space="preserve">BASIC 30,000</t>
  </si>
  <si>
    <t xml:space="preserve">EPF employee 3,000 (base 25,000); EPS employer 1,250 (base 15,000); EPF employer 1,750; EDLI 125; ESI employee 225; ESI employer 975.</t>
  </si>
  <si>
    <t xml:space="preserve">backend src/services/payroll/statutory/indiaStatutoryContributionCalculator.test.ts</t>
  </si>
  <si>
    <t xml:space="preserve">Verified by existing test statutory/*Calculator.test.ts (ran OK). Logic checked by running the backend code; UI / API / database flow NOT tested.</t>
  </si>
  <si>
    <t xml:space="preserve">PAYC-002</t>
  </si>
  <si>
    <t xml:space="preserve">PF on higher wages</t>
  </si>
  <si>
    <t xml:space="preserve">Higher-wages option on</t>
  </si>
  <si>
    <t xml:space="preserve">1. Calculate with BASIC 30,000</t>
  </si>
  <si>
    <t xml:space="preserve">EPF employee 3,600; EPS base stays 15,000; EPF employer 2,350.</t>
  </si>
  <si>
    <t xml:space="preserve">PAYC-003</t>
  </si>
  <si>
    <t xml:space="preserve">Reduced PF rate (10%)</t>
  </si>
  <si>
    <t xml:space="preserve">Rate 10%, EPS off</t>
  </si>
  <si>
    <t xml:space="preserve">rate 10%</t>
  </si>
  <si>
    <t xml:space="preserve">EPF employee 2,500; EPS 0; EPF employer 2,500.</t>
  </si>
  <si>
    <t xml:space="preserve">PAYC-004</t>
  </si>
  <si>
    <t xml:space="preserve">ESI daily-wage exemption</t>
  </si>
  <si>
    <t xml:space="preserve">ESI on, BASIC 5,000</t>
  </si>
  <si>
    <t xml:space="preserve">1. Calculate</t>
  </si>
  <si>
    <t xml:space="preserve">BASIC 5,000</t>
  </si>
  <si>
    <t xml:space="preserve">Employee ESI 0; employer ESI 163.</t>
  </si>
  <si>
    <t xml:space="preserve">PAYC-005</t>
  </si>
  <si>
    <t xml:space="preserve">Manual duplicate blocks auto statutory</t>
  </si>
  <si>
    <t xml:space="preserve">Manual PF entry present</t>
  </si>
  <si>
    <t xml:space="preserve">No auto-generated duplicate contribution lines.</t>
  </si>
  <si>
    <t xml:space="preserve">PAYC-006</t>
  </si>
  <si>
    <t xml:space="preserve">Maharashtra Professional Tax</t>
  </si>
  <si>
    <t xml:space="preserve">Office state Maharashtra; male; BASIC 30,000</t>
  </si>
  <si>
    <t xml:space="preserve">1. Calculate for a normal month
2. Calculate for February</t>
  </si>
  <si>
    <t xml:space="preserve">Mar / Feb</t>
  </si>
  <si>
    <t xml:space="preserve">PT 200 in a normal month; 300 in February.</t>
  </si>
  <si>
    <t xml:space="preserve">backend src/services/payroll/statutory/indiaStateStatutoryContributionCalculator.test.ts</t>
  </si>
  <si>
    <t xml:space="preserve">PAYC-007</t>
  </si>
  <si>
    <t xml:space="preserve">Female exemption under threshold (Maharashtra)</t>
  </si>
  <si>
    <t xml:space="preserve">Female; BASIC 25,000</t>
  </si>
  <si>
    <t xml:space="preserve">BASIC 25,000</t>
  </si>
  <si>
    <t xml:space="preserve">PT 0.</t>
  </si>
  <si>
    <t xml:space="preserve">PAYC-008</t>
  </si>
  <si>
    <t xml:space="preserve">Labour Welfare Fund periodic months</t>
  </si>
  <si>
    <t xml:space="preserve">Maharashtra; Karnataka</t>
  </si>
  <si>
    <t xml:space="preserve">1. Calculate June (MH)
2. Calculate December (KA)
3. Calculate a non-LWF month</t>
  </si>
  <si>
    <t xml:space="preserve">June / Dec / Sept</t>
  </si>
  <si>
    <t xml:space="preserve">MH June: employee 25, employer 75. KA Dec: PT 200, LWF employee 50, employer 100. No LWF in other months.</t>
  </si>
  <si>
    <t xml:space="preserve">PAYC-009</t>
  </si>
  <si>
    <t xml:space="preserve">Delhi shows zero PT</t>
  </si>
  <si>
    <t xml:space="preserve">Office state Delhi</t>
  </si>
  <si>
    <t xml:space="preserve">PT 0 (marked not levied); LWF 0.75 / 2.25.</t>
  </si>
  <si>
    <t xml:space="preserve">PAYC-010</t>
  </si>
  <si>
    <t xml:space="preserve">State statutory needs office state</t>
  </si>
  <si>
    <t xml:space="preserve">Employee without office location state</t>
  </si>
  <si>
    <t xml:space="preserve">1. Build employee snapshots</t>
  </si>
  <si>
    <t xml:space="preserve">Issue raised; employee flagged until office state is set.</t>
  </si>
  <si>
    <t xml:space="preserve">backend src/services/payroll/payrollEmployeeSnapshot.test.ts</t>
  </si>
  <si>
    <t xml:space="preserve">PAYC-011</t>
  </si>
  <si>
    <t xml:space="preserve">Tax</t>
  </si>
  <si>
    <t xml:space="preserve">Income tax withholding (new regime)</t>
  </si>
  <si>
    <t xml:space="preserve">Tax regime new; salary projection set</t>
  </si>
  <si>
    <t xml:space="preserve">TDS line IN_TDS_SALARY computed on annual projection with standard deduction; monthly spread (see fixture).</t>
  </si>
  <si>
    <t xml:space="preserve">backend src/services/payroll/statutory/indiaIncomeTaxWithholdingCalculator.test.ts</t>
  </si>
  <si>
    <t xml:space="preserve">PAYC-012</t>
  </si>
  <si>
    <t xml:space="preserve">Rebate leads to zero TDS</t>
  </si>
  <si>
    <t xml:space="preserve">Low annual income</t>
  </si>
  <si>
    <t xml:space="preserve">TDS 0 due to rebate.</t>
  </si>
  <si>
    <t xml:space="preserve">PAYC-013</t>
  </si>
  <si>
    <t xml:space="preserve">Old regime uses verified deductions and HRA</t>
  </si>
  <si>
    <t xml:space="preserve">Regime old; verified declarations</t>
  </si>
  <si>
    <t xml:space="preserve">Verified deductions and HRA exemption applied.</t>
  </si>
  <si>
    <t xml:space="preserve">PAYC-014</t>
  </si>
  <si>
    <t xml:space="preserve">Manual TDS deduction is blocked</t>
  </si>
  <si>
    <t xml:space="preserve">1. Add TDS as a manual deduction</t>
  </si>
  <si>
    <t xml:space="preserve">Blocked; TDS must come from calculator.</t>
  </si>
  <si>
    <t xml:space="preserve">PAYC-015</t>
  </si>
  <si>
    <t xml:space="preserve">Missing identity (PAN) produces warning</t>
  </si>
  <si>
    <t xml:space="preserve">No PAN</t>
  </si>
  <si>
    <t xml:space="preserve">Warning about required identity.</t>
  </si>
  <si>
    <t xml:space="preserve">PAYC-016</t>
  </si>
  <si>
    <t xml:space="preserve">Run</t>
  </si>
  <si>
    <t xml:space="preserve">Proration for unpaid days</t>
  </si>
  <si>
    <t xml:space="preserve">Employee with unpaid days</t>
  </si>
  <si>
    <t xml:space="preserve">1. Calculate run</t>
  </si>
  <si>
    <t xml:space="preserve">Scheduled earnings 35,000 with proration reduction 10,000</t>
  </si>
  <si>
    <t xml:space="preserve">Recurring earnings 25,000; gross 26,500 incl. arrears; net 25,100 (per fixture).</t>
  </si>
  <si>
    <t xml:space="preserve">backend src/services/payroll/payrollCalculation.test.ts</t>
  </si>
  <si>
    <t xml:space="preserve">PAYC-017</t>
  </si>
  <si>
    <t xml:space="preserve">Invalid source value becomes issue, not crash</t>
  </si>
  <si>
    <t xml:space="preserve">Bad input amount</t>
  </si>
  <si>
    <t xml:space="preserve">Result has error issue; net pay still computed for valid items.</t>
  </si>
  <si>
    <t xml:space="preserve">PAYC-018</t>
  </si>
  <si>
    <t xml:space="preserve">Statutory version mismatch blocks calculation</t>
  </si>
  <si>
    <t xml:space="preserve">Run snapshot provider version differs</t>
  </si>
  <si>
    <t xml:space="preserve">Calculation blocked with version mismatch error.</t>
  </si>
  <si>
    <t xml:space="preserve">PAYC-019</t>
  </si>
  <si>
    <t xml:space="preserve">Rounding mode applied</t>
  </si>
  <si>
    <t xml:space="preserve">Rounding mode set</t>
  </si>
  <si>
    <t xml:space="preserve">Amounts follow selected rounding mode.</t>
  </si>
  <si>
    <t xml:space="preserve">PAYC-020</t>
  </si>
  <si>
    <t xml:space="preserve">One-time</t>
  </si>
  <si>
    <t xml:space="preserve">Add one-time earning</t>
  </si>
  <si>
    <t xml:space="preserve">Draft run</t>
  </si>
  <si>
    <t xml:space="preserve">1. One-time inputs &gt; Add
2. Enter amount</t>
  </si>
  <si>
    <t xml:space="preserve">5000.50</t>
  </si>
  <si>
    <t xml:space="preserve">Amount saved exactly; included in next calculation.</t>
  </si>
  <si>
    <t xml:space="preserve">backend src/services/payroll/payrollOneTimeInput.test.ts</t>
  </si>
  <si>
    <t xml:space="preserve">PAYC-021</t>
  </si>
  <si>
    <t xml:space="preserve">Invalid amount</t>
  </si>
  <si>
    <t xml:space="preserve">1. Enter 'abc' and '-10'</t>
  </si>
  <si>
    <t xml:space="preserve">abc / -10</t>
  </si>
  <si>
    <t xml:space="preserve">Rejected by amount parsing.</t>
  </si>
  <si>
    <t xml:space="preserve">PAYC-022</t>
  </si>
  <si>
    <t xml:space="preserve">Changing one-time inputs after review blocks approval</t>
  </si>
  <si>
    <t xml:space="preserve">Run in review</t>
  </si>
  <si>
    <t xml:space="preserve">1. Edit a one-time input</t>
  </si>
  <si>
    <t xml:space="preserve">Review blocker 'One-time payroll inputs changed'.</t>
  </si>
  <si>
    <t xml:space="preserve">backend src/services/payroll/payrollRunReview.test.ts</t>
  </si>
  <si>
    <t xml:space="preserve">PAYR-001</t>
  </si>
  <si>
    <t xml:space="preserve">Create payroll run for a period</t>
  </si>
  <si>
    <t xml:space="preserve">manage_payroll_runs; attendance period locked</t>
  </si>
  <si>
    <t xml:space="preserve">1. Payroll runs &gt; New
2. Choose month
3. Create</t>
  </si>
  <si>
    <t xml:space="preserve">2026-09</t>
  </si>
  <si>
    <t xml:space="preserve">Run created in Draft with employee snapshots.</t>
  </si>
  <si>
    <t xml:space="preserve">backend src/services/payroll/payrollRun.test.ts</t>
  </si>
  <si>
    <t xml:space="preserve">PAYR-002</t>
  </si>
  <si>
    <t xml:space="preserve">Duplicate run for the same period</t>
  </si>
  <si>
    <t xml:space="preserve">Run exists</t>
  </si>
  <si>
    <t xml:space="preserve">1. Create another for same period</t>
  </si>
  <si>
    <t xml:space="preserve">Rejected (unique per period).</t>
  </si>
  <si>
    <t xml:space="preserve">PAYR-003</t>
  </si>
  <si>
    <t xml:space="preserve">Blocking errors prevent review</t>
  </si>
  <si>
    <t xml:space="preserve">Employee without compensation assignment</t>
  </si>
  <si>
    <t xml:space="preserve">1. Run validation
2. Submit for review</t>
  </si>
  <si>
    <t xml:space="preserve">Error 'missing_compensation_assignment'; submit blocked with 'blocking errors' reason.</t>
  </si>
  <si>
    <t xml:space="preserve">PAYR-004</t>
  </si>
  <si>
    <t xml:space="preserve">Warnings must be acknowledged</t>
  </si>
  <si>
    <t xml:space="preserve">Run with warnings</t>
  </si>
  <si>
    <t xml:space="preserve">1. Open validation
2. Acknowledge warning
3. Submit for review</t>
  </si>
  <si>
    <t xml:space="preserve">Warning marked acknowledged; blocker clears.</t>
  </si>
  <si>
    <t xml:space="preserve">PAYR-005</t>
  </si>
  <si>
    <t xml:space="preserve">Errors cannot be waived</t>
  </si>
  <si>
    <t xml:space="preserve">Run with an error issue</t>
  </si>
  <si>
    <t xml:space="preserve">1. Try to acknowledge an error</t>
  </si>
  <si>
    <t xml:space="preserve">Rejected; only warnings can be acknowledged.</t>
  </si>
  <si>
    <t xml:space="preserve">PAYR-006</t>
  </si>
  <si>
    <t xml:space="preserve">Acknowledged warning can be reopened</t>
  </si>
  <si>
    <t xml:space="preserve">Acknowledged warning</t>
  </si>
  <si>
    <t xml:space="preserve">1. Click Reopen on the issue</t>
  </si>
  <si>
    <t xml:space="preserve">Issue back to open; blocks review again.</t>
  </si>
  <si>
    <t xml:space="preserve">PAYR-007</t>
  </si>
  <si>
    <t xml:space="preserve">Reason required for a decision</t>
  </si>
  <si>
    <t xml:space="preserve">1. Acknowledge with empty reason</t>
  </si>
  <si>
    <t xml:space="preserve">PAYR-008</t>
  </si>
  <si>
    <t xml:space="preserve">Review</t>
  </si>
  <si>
    <t xml:space="preserve">Submit run for review</t>
  </si>
  <si>
    <t xml:space="preserve">No blockers</t>
  </si>
  <si>
    <t xml:space="preserve">1. Click Submit for review
2. Enter reason</t>
  </si>
  <si>
    <t xml:space="preserve">Run status 'review'; submitter and time recorded.</t>
  </si>
  <si>
    <t xml:space="preserve">PAYR-009</t>
  </si>
  <si>
    <t xml:space="preserve">Submitter cannot approve own run (maker-checker)</t>
  </si>
  <si>
    <t xml:space="preserve">Same user submitted</t>
  </si>
  <si>
    <t xml:space="preserve">1. Try to approve the run</t>
  </si>
  <si>
    <t xml:space="preserve">Error 'submitter cannot approve'.</t>
  </si>
  <si>
    <t xml:space="preserve">PAYR-010</t>
  </si>
  <si>
    <t xml:space="preserve">Different approver approves</t>
  </si>
  <si>
    <t xml:space="preserve">HR Admin</t>
  </si>
  <si>
    <t xml:space="preserve">Run in review; approve_payroll_runs</t>
  </si>
  <si>
    <t xml:space="preserve">1. Open run
2. Approve</t>
  </si>
  <si>
    <t xml:space="preserve">Run approved and ready to finalize.</t>
  </si>
  <si>
    <t xml:space="preserve">PAYR-011</t>
  </si>
  <si>
    <t xml:space="preserve">Submission needs a reason</t>
  </si>
  <si>
    <t xml:space="preserve">1. Submit without reason</t>
  </si>
  <si>
    <t xml:space="preserve">Schema error on reviewSubmissionReason.</t>
  </si>
  <si>
    <t xml:space="preserve">PAYR-012</t>
  </si>
  <si>
    <t xml:space="preserve">Finalize</t>
  </si>
  <si>
    <t xml:space="preserve">Admin finalizes approved run</t>
  </si>
  <si>
    <t xml:space="preserve">Admin</t>
  </si>
  <si>
    <t xml:space="preserve">Run approved</t>
  </si>
  <si>
    <t xml:space="preserve">1. Click Finalize</t>
  </si>
  <si>
    <t xml:space="preserve">Status finalized; immutable results with snapshot hash; payslips generated.</t>
  </si>
  <si>
    <t xml:space="preserve">backend src/services/payroll/payrollFinalization.test.ts</t>
  </si>
  <si>
    <t xml:space="preserve">PAYR-013</t>
  </si>
  <si>
    <t xml:space="preserve">HR cannot finalize</t>
  </si>
  <si>
    <t xml:space="preserve">Default HR permissions</t>
  </si>
  <si>
    <t xml:space="preserve">1. Open run</t>
  </si>
  <si>
    <t xml:space="preserve">Finalize unavailable (admin and HR Admin only).</t>
  </si>
  <si>
    <t xml:space="preserve">PAYR-014</t>
  </si>
  <si>
    <t xml:space="preserve">Finalized totals reconcile with run</t>
  </si>
  <si>
    <t xml:space="preserve">1. Compare run totals with finalized results</t>
  </si>
  <si>
    <t xml:space="preserve">Employee count and net pay match; mismatch raises error.</t>
  </si>
  <si>
    <t xml:space="preserve">PAYR-015</t>
  </si>
  <si>
    <t xml:space="preserve">One finalized result per employee per version</t>
  </si>
  <si>
    <t xml:space="preserve">1. Attempt duplicate finalization</t>
  </si>
  <si>
    <t xml:space="preserve">Unique index prevents duplicates.</t>
  </si>
  <si>
    <t xml:space="preserve">PAYR-016</t>
  </si>
  <si>
    <t xml:space="preserve">Reopen</t>
  </si>
  <si>
    <t xml:space="preserve">Reopen a finalized run with payout not started</t>
  </si>
  <si>
    <t xml:space="preserve">Finalized, payout not_started</t>
  </si>
  <si>
    <t xml:space="preserve">1. Click Reopen
2. Enter reason</t>
  </si>
  <si>
    <t xml:space="preserve">Status back to draft; version incremented; earlier finalization preserved for audit.</t>
  </si>
  <si>
    <t xml:space="preserve">backend src/services/payroll/payrollReopen.test.ts</t>
  </si>
  <si>
    <t xml:space="preserve">PAYR-017</t>
  </si>
  <si>
    <t xml:space="preserve">Cannot reopen a draft run</t>
  </si>
  <si>
    <t xml:space="preserve">1. Try Reopen</t>
  </si>
  <si>
    <t xml:space="preserve">Blocked: only finalized runs can be reopened.</t>
  </si>
  <si>
    <t xml:space="preserve">PAYR-018</t>
  </si>
  <si>
    <t xml:space="preserve">Cannot reopen when payout is processing or paid</t>
  </si>
  <si>
    <t xml:space="preserve">Payout processing / paid</t>
  </si>
  <si>
    <t xml:space="preserve">Blocked due to payout status.</t>
  </si>
  <si>
    <t xml:space="preserve">PAYR-019</t>
  </si>
  <si>
    <t xml:space="preserve">HR cannot reopen</t>
  </si>
  <si>
    <t xml:space="preserve">1. Look for Reopen</t>
  </si>
  <si>
    <t xml:space="preserve">Not available (admin and HR Admin only).</t>
  </si>
  <si>
    <t xml:space="preserve">PAYR-020</t>
  </si>
  <si>
    <t xml:space="preserve">Correction after finalization goes as arrear to next run</t>
  </si>
  <si>
    <t xml:space="preserve">Run for Aug finalized</t>
  </si>
  <si>
    <t xml:space="preserve">1. Create correction for Aug
2. Calculate Sept run</t>
  </si>
  <si>
    <t xml:space="preserve">Arrear line has source 'finalized_correction' linked to Aug and finalization version 1.</t>
  </si>
  <si>
    <t xml:space="preserve">PAYP-001</t>
  </si>
  <si>
    <t xml:space="preserve">Payslip</t>
  </si>
  <si>
    <t xml:space="preserve">Employee views own payslip</t>
  </si>
  <si>
    <t xml:space="preserve">Finalized run</t>
  </si>
  <si>
    <t xml:space="preserve">1. Open My Payslips
2. Choose month
3. Download PDF</t>
  </si>
  <si>
    <t xml:space="preserve">Sep 2026</t>
  </si>
  <si>
    <t xml:space="preserve">Payslip PDF opens with correct earnings, deductions and net pay.</t>
  </si>
  <si>
    <t xml:space="preserve">backend src/services/payroll/payrollPayslip.test.ts</t>
  </si>
  <si>
    <t xml:space="preserve">PAYP-002</t>
  </si>
  <si>
    <t xml:space="preserve">Employee cannot see another employee's payslip</t>
  </si>
  <si>
    <t xml:space="preserve">1. Request another employee's payslip by id</t>
  </si>
  <si>
    <t xml:space="preserve">Denied.</t>
  </si>
  <si>
    <t xml:space="preserve">PAYP-003</t>
  </si>
  <si>
    <t xml:space="preserve">Payslip before finalization</t>
  </si>
  <si>
    <t xml:space="preserve">Run still draft</t>
  </si>
  <si>
    <t xml:space="preserve">1. Open My Payslips</t>
  </si>
  <si>
    <t xml:space="preserve">No payslip for that month yet.</t>
  </si>
  <si>
    <t xml:space="preserve">PAYP-004</t>
  </si>
  <si>
    <t xml:space="preserve">Filter payslips by period</t>
  </si>
  <si>
    <t xml:space="preserve">Several months finalized</t>
  </si>
  <si>
    <t xml:space="preserve">1. Select a year/month range</t>
  </si>
  <si>
    <t xml:space="preserve">Only payslips in range shown.</t>
  </si>
  <si>
    <t xml:space="preserve">PAYP-005</t>
  </si>
  <si>
    <t xml:space="preserve">Statutory report workbook</t>
  </si>
  <si>
    <t xml:space="preserve">1. Statutory reports &gt; Generate</t>
  </si>
  <si>
    <t xml:space="preserve">Excel contains PF/ESI/PT figures matching run.</t>
  </si>
  <si>
    <t xml:space="preserve">backend src/services/payroll/payrollStatutoryReport.test.ts</t>
  </si>
  <si>
    <t xml:space="preserve">PAYP-006</t>
  </si>
  <si>
    <t xml:space="preserve">ESIC / statutory filing file</t>
  </si>
  <si>
    <t xml:space="preserve">1. Statutory filings &gt; ESIC
2. Generate</t>
  </si>
  <si>
    <t xml:space="preserve">Filing file generated in expected format.</t>
  </si>
  <si>
    <t xml:space="preserve">backend src/services/payroll/payrollEsicFiling.test.ts</t>
  </si>
  <si>
    <t xml:space="preserve">PAYP-007</t>
  </si>
  <si>
    <t xml:space="preserve">Sensitive CSV controls</t>
  </si>
  <si>
    <t xml:space="preserve">User without sensitive-data access</t>
  </si>
  <si>
    <t xml:space="preserve">1. Export payroll CSV</t>
  </si>
  <si>
    <t xml:space="preserve">Sensitive columns masked or export denied.</t>
  </si>
  <si>
    <t xml:space="preserve">backend src/services/payroll/payrollReportingOperations.test.ts</t>
  </si>
  <si>
    <t xml:space="preserve">PAYP-008</t>
  </si>
  <si>
    <t xml:space="preserve">Large run opens without failure</t>
  </si>
  <si>
    <t xml:space="preserve">Run with many employees</t>
  </si>
  <si>
    <t xml:space="preserve">1. Open finalized results</t>
  </si>
  <si>
    <t xml:space="preserve">1000+ employees</t>
  </si>
  <si>
    <t xml:space="preserve">Results load and paginate properly.</t>
  </si>
  <si>
    <t xml:space="preserve">PAYP-009</t>
  </si>
  <si>
    <t xml:space="preserve">Access</t>
  </si>
  <si>
    <t xml:space="preserve">Payroll menu hidden for plain employees</t>
  </si>
  <si>
    <t xml:space="preserve">1. Check sidebar
2. Open /dashboard/payroll directly</t>
  </si>
  <si>
    <t xml:space="preserve">Menu hidden; direct URL denied.</t>
  </si>
  <si>
    <t xml:space="preserve">frontend app/dashboard/payroll</t>
  </si>
  <si>
    <t xml:space="preserve">PAYP-010</t>
  </si>
  <si>
    <t xml:space="preserve">Payroll Executive access role</t>
  </si>
  <si>
    <t xml:space="preserve">Access role assigned to an HR user</t>
  </si>
  <si>
    <t xml:space="preserve">1. Login and open Payroll</t>
  </si>
  <si>
    <t xml:space="preserve">Gets payroll permissions only; no extra org rights.</t>
  </si>
  <si>
    <t xml:space="preserve">Verified by existing test payrollAccessRole.test.ts (ran OK). Logic checked by running the backend code; UI / API / database flow NOT tested.</t>
  </si>
</sst>
</file>

<file path=xl/styles.xml><?xml version="1.0" encoding="utf-8"?>
<styleSheet xmlns="http://schemas.openxmlformats.org/spreadsheetml/2006/main">
  <numFmts count="3">
    <numFmt numFmtId="164" formatCode="General"/>
    <numFmt numFmtId="165" formatCode="General"/>
    <numFmt numFmtId="166" formatCode="0.0%"/>
  </numFmts>
  <fonts count="14">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Arial"/>
      <family val="0"/>
      <charset val="1"/>
    </font>
    <font>
      <b val="true"/>
      <sz val="11"/>
      <name val="Arial"/>
      <family val="0"/>
      <charset val="1"/>
    </font>
    <font>
      <b val="true"/>
      <sz val="11"/>
      <color rgb="FFFFFFFF"/>
      <name val="Arial"/>
      <family val="0"/>
      <charset val="1"/>
    </font>
    <font>
      <sz val="11"/>
      <color rgb="FF0000FF"/>
      <name val="Arial"/>
      <family val="0"/>
      <charset val="1"/>
    </font>
    <font>
      <b val="true"/>
      <sz val="11"/>
      <color rgb="FFC00000"/>
      <name val="Arial"/>
      <family val="0"/>
      <charset val="1"/>
    </font>
    <font>
      <i val="true"/>
      <sz val="9"/>
      <name val="Arial"/>
      <family val="0"/>
      <charset val="1"/>
    </font>
    <font>
      <b val="true"/>
      <sz val="11"/>
      <color rgb="FF000000"/>
      <name val="Arial"/>
      <family val="0"/>
      <charset val="1"/>
    </font>
    <font>
      <sz val="10"/>
      <name val="Arial"/>
      <family val="0"/>
      <charset val="1"/>
    </font>
    <font>
      <sz val="10"/>
      <color rgb="FF0000FF"/>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D966"/>
        <bgColor rgb="FFFFEB9C"/>
      </patternFill>
    </fill>
    <fill>
      <patternFill patternType="solid">
        <fgColor rgb="FFFFF2CC"/>
        <bgColor rgb="FFFFEB9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bottom" textRotation="0" wrapText="tru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6" fontId="5"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6" fontId="6" fillId="0"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3" fillId="4" borderId="1" xfId="0" applyFont="true" applyBorder="true" applyAlignment="true" applyProtection="false">
      <alignment horizontal="center" vertical="top" textRotation="0" wrapText="false" indent="0" shrinkToFit="false"/>
      <protection locked="true" hidden="false"/>
    </xf>
    <xf numFmtId="164" fontId="13"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D966"/>
          <bgColor rgb="FF000000"/>
        </patternFill>
      </fill>
    </dxf>
    <dxf>
      <fill>
        <patternFill patternType="solid">
          <fgColor rgb="FFFFF2CC"/>
          <bgColor rgb="FF000000"/>
        </patternFill>
      </fill>
    </dxf>
    <dxf>
      <fill>
        <patternFill patternType="solid">
          <fgColor rgb="FF000000"/>
          <bgColor rgb="FF000000"/>
        </patternFill>
      </fill>
    </dxf>
    <dxf>
      <fill>
        <patternFill patternType="solid">
          <fgColor rgb="FF0000FF"/>
          <bgColor rgb="FF000000"/>
        </patternFill>
      </fill>
    </dxf>
    <dxf>
      <fill>
        <patternFill>
          <bgColor rgb="FFC6EFCE"/>
        </patternFill>
      </fill>
    </dxf>
    <dxf>
      <fill>
        <patternFill>
          <bgColor rgb="FFFFC7CE"/>
        </patternFill>
      </fill>
    </dxf>
    <dxf>
      <fill>
        <patternFill>
          <bgColor rgb="FFFFEB9C"/>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D966"/>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0"/>
    <col collapsed="false" customWidth="true" hidden="false" outlineLevel="0" max="7" min="2" style="1" width="22"/>
  </cols>
  <sheetData>
    <row r="1" customFormat="false" ht="17.25" hidden="false" customHeight="true" outlineLevel="0" collapsed="false">
      <c r="A1" s="2" t="s">
        <v>0</v>
      </c>
      <c r="B1" s="2"/>
      <c r="C1" s="2"/>
      <c r="D1" s="2"/>
      <c r="E1" s="2"/>
      <c r="F1" s="2"/>
      <c r="G1" s="2"/>
    </row>
    <row r="2" customFormat="false" ht="15" hidden="false" customHeight="true" outlineLevel="0" collapsed="false">
      <c r="A2" s="3" t="s">
        <v>1</v>
      </c>
      <c r="B2" s="3"/>
      <c r="C2" s="3"/>
      <c r="D2" s="3"/>
      <c r="E2" s="3"/>
      <c r="F2" s="3"/>
      <c r="G2" s="3"/>
    </row>
    <row r="3" customFormat="false" ht="15" hidden="false" customHeight="true" outlineLevel="0" collapsed="false">
      <c r="A3" s="3" t="s">
        <v>2</v>
      </c>
      <c r="B3" s="3"/>
      <c r="C3" s="3"/>
      <c r="D3" s="3"/>
      <c r="E3" s="3"/>
      <c r="F3" s="3"/>
      <c r="G3" s="3"/>
    </row>
    <row r="4" customFormat="false" ht="15" hidden="false" customHeight="true" outlineLevel="0" collapsed="false">
      <c r="A4" s="4"/>
    </row>
    <row r="5" customFormat="false" ht="15" hidden="false" customHeight="true" outlineLevel="0" collapsed="false">
      <c r="A5" s="5" t="s">
        <v>3</v>
      </c>
      <c r="B5" s="5"/>
      <c r="C5" s="5"/>
      <c r="D5" s="5"/>
      <c r="E5" s="5"/>
      <c r="F5" s="5"/>
      <c r="G5" s="5"/>
    </row>
    <row r="6" customFormat="false" ht="15" hidden="false" customHeight="true" outlineLevel="0" collapsed="false">
      <c r="A6" s="3" t="s">
        <v>4</v>
      </c>
      <c r="B6" s="3"/>
      <c r="C6" s="3"/>
      <c r="D6" s="3"/>
      <c r="E6" s="3"/>
      <c r="F6" s="3"/>
      <c r="G6" s="3"/>
    </row>
    <row r="7" customFormat="false" ht="15" hidden="false" customHeight="true" outlineLevel="0" collapsed="false">
      <c r="A7" s="3" t="s">
        <v>5</v>
      </c>
      <c r="B7" s="3"/>
      <c r="C7" s="3"/>
      <c r="D7" s="3"/>
      <c r="E7" s="3"/>
      <c r="F7" s="3"/>
      <c r="G7" s="3"/>
    </row>
    <row r="8" customFormat="false" ht="15" hidden="false" customHeight="true" outlineLevel="0" collapsed="false">
      <c r="A8" s="3" t="s">
        <v>6</v>
      </c>
      <c r="B8" s="3"/>
      <c r="C8" s="3"/>
      <c r="D8" s="3"/>
      <c r="E8" s="3"/>
      <c r="F8" s="3"/>
      <c r="G8" s="3"/>
    </row>
    <row r="9" customFormat="false" ht="15" hidden="false" customHeight="true" outlineLevel="0" collapsed="false">
      <c r="A9" s="3" t="s">
        <v>7</v>
      </c>
      <c r="B9" s="3"/>
      <c r="C9" s="3"/>
      <c r="D9" s="3"/>
      <c r="E9" s="3"/>
      <c r="F9" s="3"/>
      <c r="G9" s="3"/>
    </row>
    <row r="10" customFormat="false" ht="15" hidden="false" customHeight="true" outlineLevel="0" collapsed="false">
      <c r="A10" s="3" t="s">
        <v>8</v>
      </c>
      <c r="B10" s="3"/>
      <c r="C10" s="3"/>
      <c r="D10" s="3"/>
      <c r="E10" s="3"/>
      <c r="F10" s="3"/>
      <c r="G10" s="3"/>
    </row>
    <row r="11" customFormat="false" ht="15" hidden="false" customHeight="true" outlineLevel="0" collapsed="false">
      <c r="A11" s="4"/>
    </row>
    <row r="12" customFormat="false" ht="15" hidden="false" customHeight="true" outlineLevel="0" collapsed="false">
      <c r="A12" s="5" t="s">
        <v>9</v>
      </c>
      <c r="B12" s="5"/>
      <c r="C12" s="5"/>
      <c r="D12" s="5"/>
      <c r="E12" s="5"/>
      <c r="F12" s="5"/>
      <c r="G12" s="5"/>
    </row>
    <row r="13" customFormat="false" ht="15" hidden="false" customHeight="true" outlineLevel="0" collapsed="false">
      <c r="A13" s="3" t="s">
        <v>10</v>
      </c>
      <c r="B13" s="3"/>
      <c r="C13" s="3"/>
      <c r="D13" s="3"/>
      <c r="E13" s="3"/>
      <c r="F13" s="3"/>
      <c r="G13" s="3"/>
    </row>
    <row r="14" customFormat="false" ht="15" hidden="false" customHeight="true" outlineLevel="0" collapsed="false">
      <c r="A14" s="3" t="s">
        <v>11</v>
      </c>
      <c r="B14" s="3"/>
      <c r="C14" s="3"/>
      <c r="D14" s="3"/>
      <c r="E14" s="3"/>
      <c r="F14" s="3"/>
      <c r="G14" s="3"/>
    </row>
    <row r="15" customFormat="false" ht="15" hidden="false" customHeight="true" outlineLevel="0" collapsed="false">
      <c r="A15" s="3" t="s">
        <v>12</v>
      </c>
      <c r="B15" s="3"/>
      <c r="C15" s="3"/>
      <c r="D15" s="3"/>
      <c r="E15" s="3"/>
      <c r="F15" s="3"/>
      <c r="G15" s="3"/>
    </row>
    <row r="16" customFormat="false" ht="15" hidden="false" customHeight="true" outlineLevel="0" collapsed="false">
      <c r="A16" s="4"/>
    </row>
    <row r="17" customFormat="false" ht="15" hidden="false" customHeight="true" outlineLevel="0" collapsed="false">
      <c r="A17" s="5" t="s">
        <v>13</v>
      </c>
      <c r="B17" s="5"/>
      <c r="C17" s="5"/>
      <c r="D17" s="5"/>
      <c r="E17" s="5"/>
      <c r="F17" s="5"/>
      <c r="G17" s="5"/>
    </row>
    <row r="18" customFormat="false" ht="15" hidden="false" customHeight="true" outlineLevel="0" collapsed="false">
      <c r="A18" s="6" t="s">
        <v>14</v>
      </c>
      <c r="B18" s="6" t="s">
        <v>15</v>
      </c>
      <c r="C18" s="6" t="s">
        <v>16</v>
      </c>
      <c r="D18" s="6" t="s">
        <v>17</v>
      </c>
      <c r="E18" s="6" t="s">
        <v>18</v>
      </c>
      <c r="F18" s="6" t="s">
        <v>19</v>
      </c>
      <c r="G18" s="6" t="s">
        <v>20</v>
      </c>
    </row>
    <row r="19" customFormat="false" ht="15" hidden="false" customHeight="true" outlineLevel="0" collapsed="false">
      <c r="A19" s="7" t="s">
        <v>21</v>
      </c>
      <c r="B19" s="7" t="s">
        <v>22</v>
      </c>
      <c r="C19" s="7" t="s">
        <v>23</v>
      </c>
      <c r="D19" s="7" t="s">
        <v>24</v>
      </c>
      <c r="E19" s="7" t="s">
        <v>25</v>
      </c>
      <c r="F19" s="7" t="s">
        <v>26</v>
      </c>
      <c r="G19" s="7" t="s">
        <v>27</v>
      </c>
    </row>
    <row r="21" customFormat="false" ht="48" hidden="false" customHeight="true" outlineLevel="0" collapsed="false">
      <c r="A21" s="8" t="s">
        <v>28</v>
      </c>
      <c r="B21" s="8"/>
      <c r="C21" s="8"/>
      <c r="D21" s="8"/>
      <c r="E21" s="8"/>
      <c r="F21" s="8"/>
      <c r="G21" s="8"/>
    </row>
  </sheetData>
  <mergeCells count="15">
    <mergeCell ref="A1:G1"/>
    <mergeCell ref="A2:G2"/>
    <mergeCell ref="A3:G3"/>
    <mergeCell ref="A5:G5"/>
    <mergeCell ref="A6:G6"/>
    <mergeCell ref="A7:G7"/>
    <mergeCell ref="A8:G8"/>
    <mergeCell ref="A9:G9"/>
    <mergeCell ref="A10:G10"/>
    <mergeCell ref="A12:G12"/>
    <mergeCell ref="A13:G13"/>
    <mergeCell ref="A14:G14"/>
    <mergeCell ref="A15:G15"/>
    <mergeCell ref="A17:G17"/>
    <mergeCell ref="A21:G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10" min="2" style="1" width="12"/>
  </cols>
  <sheetData>
    <row r="1" customFormat="false" ht="17.25" hidden="false" customHeight="true" outlineLevel="0" collapsed="false">
      <c r="A1" s="9" t="s">
        <v>29</v>
      </c>
    </row>
    <row r="3" customFormat="false" ht="26.25" hidden="false" customHeight="true" outlineLevel="0" collapsed="false">
      <c r="A3" s="10" t="s">
        <v>30</v>
      </c>
      <c r="B3" s="10" t="s">
        <v>31</v>
      </c>
      <c r="C3" s="10" t="s">
        <v>32</v>
      </c>
      <c r="D3" s="10" t="s">
        <v>23</v>
      </c>
      <c r="E3" s="10" t="s">
        <v>33</v>
      </c>
      <c r="F3" s="10" t="s">
        <v>34</v>
      </c>
      <c r="G3" s="10" t="s">
        <v>35</v>
      </c>
      <c r="H3" s="10" t="s">
        <v>36</v>
      </c>
      <c r="I3" s="10" t="s">
        <v>37</v>
      </c>
      <c r="J3" s="10" t="s">
        <v>38</v>
      </c>
    </row>
    <row r="4" customFormat="false" ht="15" hidden="false" customHeight="true" outlineLevel="0" collapsed="false">
      <c r="A4" s="11" t="s">
        <v>39</v>
      </c>
      <c r="B4" s="12" t="n">
        <f aca="false">COUNTIF('Test Cases'!$B$2:$B$287,$A4)</f>
        <v>40</v>
      </c>
      <c r="C4" s="12" t="n">
        <f aca="false">COUNTIFS('Test Cases'!$B$2:$B$287,$A4,'Test Cases'!$M$2:$M$287,"Pass")</f>
        <v>3</v>
      </c>
      <c r="D4" s="12" t="n">
        <f aca="false">COUNTIFS('Test Cases'!$B$2:$B$287,$A4,'Test Cases'!$M$2:$M$287,"Fail")</f>
        <v>0</v>
      </c>
      <c r="E4" s="12" t="n">
        <f aca="false">COUNTIFS('Test Cases'!$B$2:$B$287,$A4,'Test Cases'!$M$2:$M$287,"Blocked")</f>
        <v>0</v>
      </c>
      <c r="F4" s="12" t="n">
        <f aca="false">COUNTIFS('Test Cases'!$B$2:$B$287,$A4,'Test Cases'!$M$2:$M$287,"N/A")</f>
        <v>0</v>
      </c>
      <c r="G4" s="12" t="n">
        <f aca="false">COUNTIFS('Test Cases'!$B$2:$B$287,$A4,'Test Cases'!$M$2:$M$287,"Not Run")</f>
        <v>37</v>
      </c>
      <c r="H4" s="13" t="n">
        <f aca="false">IF(B4=0,0,(B4-G4)/B4)</f>
        <v>0.075</v>
      </c>
      <c r="I4" s="12" t="n">
        <f aca="false">COUNTIFS('Test Cases'!$B$2:$B$287,$A4,'Test Cases'!$F$2:$F$287,"P0")</f>
        <v>10</v>
      </c>
      <c r="J4" s="12" t="n">
        <f aca="false">I4-COUNTIFS('Test Cases'!$B$2:$B$287,$A4,'Test Cases'!$F$2:$F$287,"P0",'Test Cases'!$M$2:$M$287,"Pass")</f>
        <v>7</v>
      </c>
    </row>
    <row r="5" customFormat="false" ht="15" hidden="false" customHeight="true" outlineLevel="0" collapsed="false">
      <c r="A5" s="11" t="s">
        <v>40</v>
      </c>
      <c r="B5" s="12" t="n">
        <f aca="false">COUNTIF('Test Cases'!$B$2:$B$287,$A5)</f>
        <v>30</v>
      </c>
      <c r="C5" s="12" t="n">
        <f aca="false">COUNTIFS('Test Cases'!$B$2:$B$287,$A5,'Test Cases'!$M$2:$M$287,"Pass")</f>
        <v>8</v>
      </c>
      <c r="D5" s="12" t="n">
        <f aca="false">COUNTIFS('Test Cases'!$B$2:$B$287,$A5,'Test Cases'!$M$2:$M$287,"Fail")</f>
        <v>0</v>
      </c>
      <c r="E5" s="12" t="n">
        <f aca="false">COUNTIFS('Test Cases'!$B$2:$B$287,$A5,'Test Cases'!$M$2:$M$287,"Blocked")</f>
        <v>0</v>
      </c>
      <c r="F5" s="12" t="n">
        <f aca="false">COUNTIFS('Test Cases'!$B$2:$B$287,$A5,'Test Cases'!$M$2:$M$287,"N/A")</f>
        <v>0</v>
      </c>
      <c r="G5" s="12" t="n">
        <f aca="false">COUNTIFS('Test Cases'!$B$2:$B$287,$A5,'Test Cases'!$M$2:$M$287,"Not Run")</f>
        <v>22</v>
      </c>
      <c r="H5" s="13" t="n">
        <f aca="false">IF(B5=0,0,(B5-G5)/B5)</f>
        <v>0.266666666666667</v>
      </c>
      <c r="I5" s="12" t="n">
        <f aca="false">COUNTIFS('Test Cases'!$B$2:$B$287,$A5,'Test Cases'!$F$2:$F$287,"P0")</f>
        <v>5</v>
      </c>
      <c r="J5" s="12" t="n">
        <f aca="false">I5-COUNTIFS('Test Cases'!$B$2:$B$287,$A5,'Test Cases'!$F$2:$F$287,"P0",'Test Cases'!$M$2:$M$287,"Pass")</f>
        <v>5</v>
      </c>
    </row>
    <row r="6" customFormat="false" ht="15" hidden="false" customHeight="true" outlineLevel="0" collapsed="false">
      <c r="A6" s="11" t="s">
        <v>41</v>
      </c>
      <c r="B6" s="12" t="n">
        <f aca="false">COUNTIF('Test Cases'!$B$2:$B$287,$A6)</f>
        <v>10</v>
      </c>
      <c r="C6" s="12" t="n">
        <f aca="false">COUNTIFS('Test Cases'!$B$2:$B$287,$A6,'Test Cases'!$M$2:$M$287,"Pass")</f>
        <v>0</v>
      </c>
      <c r="D6" s="12" t="n">
        <f aca="false">COUNTIFS('Test Cases'!$B$2:$B$287,$A6,'Test Cases'!$M$2:$M$287,"Fail")</f>
        <v>0</v>
      </c>
      <c r="E6" s="12" t="n">
        <f aca="false">COUNTIFS('Test Cases'!$B$2:$B$287,$A6,'Test Cases'!$M$2:$M$287,"Blocked")</f>
        <v>0</v>
      </c>
      <c r="F6" s="12" t="n">
        <f aca="false">COUNTIFS('Test Cases'!$B$2:$B$287,$A6,'Test Cases'!$M$2:$M$287,"N/A")</f>
        <v>0</v>
      </c>
      <c r="G6" s="12" t="n">
        <f aca="false">COUNTIFS('Test Cases'!$B$2:$B$287,$A6,'Test Cases'!$M$2:$M$287,"Not Run")</f>
        <v>10</v>
      </c>
      <c r="H6" s="13" t="n">
        <f aca="false">IF(B6=0,0,(B6-G6)/B6)</f>
        <v>0</v>
      </c>
      <c r="I6" s="12" t="n">
        <f aca="false">COUNTIFS('Test Cases'!$B$2:$B$287,$A6,'Test Cases'!$F$2:$F$287,"P0")</f>
        <v>1</v>
      </c>
      <c r="J6" s="12" t="n">
        <f aca="false">I6-COUNTIFS('Test Cases'!$B$2:$B$287,$A6,'Test Cases'!$F$2:$F$287,"P0",'Test Cases'!$M$2:$M$287,"Pass")</f>
        <v>1</v>
      </c>
    </row>
    <row r="7" customFormat="false" ht="15" hidden="false" customHeight="true" outlineLevel="0" collapsed="false">
      <c r="A7" s="11" t="s">
        <v>42</v>
      </c>
      <c r="B7" s="12" t="n">
        <f aca="false">COUNTIF('Test Cases'!$B$2:$B$287,$A7)</f>
        <v>7</v>
      </c>
      <c r="C7" s="12" t="n">
        <f aca="false">COUNTIFS('Test Cases'!$B$2:$B$287,$A7,'Test Cases'!$M$2:$M$287,"Pass")</f>
        <v>4</v>
      </c>
      <c r="D7" s="12" t="n">
        <f aca="false">COUNTIFS('Test Cases'!$B$2:$B$287,$A7,'Test Cases'!$M$2:$M$287,"Fail")</f>
        <v>0</v>
      </c>
      <c r="E7" s="12" t="n">
        <f aca="false">COUNTIFS('Test Cases'!$B$2:$B$287,$A7,'Test Cases'!$M$2:$M$287,"Blocked")</f>
        <v>0</v>
      </c>
      <c r="F7" s="12" t="n">
        <f aca="false">COUNTIFS('Test Cases'!$B$2:$B$287,$A7,'Test Cases'!$M$2:$M$287,"N/A")</f>
        <v>0</v>
      </c>
      <c r="G7" s="12" t="n">
        <f aca="false">COUNTIFS('Test Cases'!$B$2:$B$287,$A7,'Test Cases'!$M$2:$M$287,"Not Run")</f>
        <v>3</v>
      </c>
      <c r="H7" s="13" t="n">
        <f aca="false">IF(B7=0,0,(B7-G7)/B7)</f>
        <v>0.571428571428571</v>
      </c>
      <c r="I7" s="12" t="n">
        <f aca="false">COUNTIFS('Test Cases'!$B$2:$B$287,$A7,'Test Cases'!$F$2:$F$287,"P0")</f>
        <v>2</v>
      </c>
      <c r="J7" s="12" t="n">
        <f aca="false">I7-COUNTIFS('Test Cases'!$B$2:$B$287,$A7,'Test Cases'!$F$2:$F$287,"P0",'Test Cases'!$M$2:$M$287,"Pass")</f>
        <v>2</v>
      </c>
    </row>
    <row r="8" customFormat="false" ht="15" hidden="false" customHeight="true" outlineLevel="0" collapsed="false">
      <c r="A8" s="11" t="s">
        <v>43</v>
      </c>
      <c r="B8" s="12" t="n">
        <f aca="false">COUNTIF('Test Cases'!$B$2:$B$287,$A8)</f>
        <v>20</v>
      </c>
      <c r="C8" s="12" t="n">
        <f aca="false">COUNTIFS('Test Cases'!$B$2:$B$287,$A8,'Test Cases'!$M$2:$M$287,"Pass")</f>
        <v>0</v>
      </c>
      <c r="D8" s="12" t="n">
        <f aca="false">COUNTIFS('Test Cases'!$B$2:$B$287,$A8,'Test Cases'!$M$2:$M$287,"Fail")</f>
        <v>0</v>
      </c>
      <c r="E8" s="12" t="n">
        <f aca="false">COUNTIFS('Test Cases'!$B$2:$B$287,$A8,'Test Cases'!$M$2:$M$287,"Blocked")</f>
        <v>0</v>
      </c>
      <c r="F8" s="12" t="n">
        <f aca="false">COUNTIFS('Test Cases'!$B$2:$B$287,$A8,'Test Cases'!$M$2:$M$287,"N/A")</f>
        <v>0</v>
      </c>
      <c r="G8" s="12" t="n">
        <f aca="false">COUNTIFS('Test Cases'!$B$2:$B$287,$A8,'Test Cases'!$M$2:$M$287,"Not Run")</f>
        <v>20</v>
      </c>
      <c r="H8" s="13" t="n">
        <f aca="false">IF(B8=0,0,(B8-G8)/B8)</f>
        <v>0</v>
      </c>
      <c r="I8" s="12" t="n">
        <f aca="false">COUNTIFS('Test Cases'!$B$2:$B$287,$A8,'Test Cases'!$F$2:$F$287,"P0")</f>
        <v>2</v>
      </c>
      <c r="J8" s="12" t="n">
        <f aca="false">I8-COUNTIFS('Test Cases'!$B$2:$B$287,$A8,'Test Cases'!$F$2:$F$287,"P0",'Test Cases'!$M$2:$M$287,"Pass")</f>
        <v>2</v>
      </c>
    </row>
    <row r="9" customFormat="false" ht="15" hidden="false" customHeight="true" outlineLevel="0" collapsed="false">
      <c r="A9" s="11" t="s">
        <v>44</v>
      </c>
      <c r="B9" s="12" t="n">
        <f aca="false">COUNTIF('Test Cases'!$B$2:$B$287,$A9)</f>
        <v>40</v>
      </c>
      <c r="C9" s="12" t="n">
        <f aca="false">COUNTIFS('Test Cases'!$B$2:$B$287,$A9,'Test Cases'!$M$2:$M$287,"Pass")</f>
        <v>14</v>
      </c>
      <c r="D9" s="12" t="n">
        <f aca="false">COUNTIFS('Test Cases'!$B$2:$B$287,$A9,'Test Cases'!$M$2:$M$287,"Fail")</f>
        <v>0</v>
      </c>
      <c r="E9" s="12" t="n">
        <f aca="false">COUNTIFS('Test Cases'!$B$2:$B$287,$A9,'Test Cases'!$M$2:$M$287,"Blocked")</f>
        <v>0</v>
      </c>
      <c r="F9" s="12" t="n">
        <f aca="false">COUNTIFS('Test Cases'!$B$2:$B$287,$A9,'Test Cases'!$M$2:$M$287,"N/A")</f>
        <v>0</v>
      </c>
      <c r="G9" s="12" t="n">
        <f aca="false">COUNTIFS('Test Cases'!$B$2:$B$287,$A9,'Test Cases'!$M$2:$M$287,"Not Run")</f>
        <v>26</v>
      </c>
      <c r="H9" s="13" t="n">
        <f aca="false">IF(B9=0,0,(B9-G9)/B9)</f>
        <v>0.35</v>
      </c>
      <c r="I9" s="12" t="n">
        <f aca="false">COUNTIFS('Test Cases'!$B$2:$B$287,$A9,'Test Cases'!$F$2:$F$287,"P0")</f>
        <v>8</v>
      </c>
      <c r="J9" s="12" t="n">
        <f aca="false">I9-COUNTIFS('Test Cases'!$B$2:$B$287,$A9,'Test Cases'!$F$2:$F$287,"P0",'Test Cases'!$M$2:$M$287,"Pass")</f>
        <v>4</v>
      </c>
    </row>
    <row r="10" customFormat="false" ht="15" hidden="false" customHeight="true" outlineLevel="0" collapsed="false">
      <c r="A10" s="11" t="s">
        <v>45</v>
      </c>
      <c r="B10" s="12" t="n">
        <f aca="false">COUNTIF('Test Cases'!$B$2:$B$287,$A10)</f>
        <v>12</v>
      </c>
      <c r="C10" s="12" t="n">
        <f aca="false">COUNTIFS('Test Cases'!$B$2:$B$287,$A10,'Test Cases'!$M$2:$M$287,"Pass")</f>
        <v>4</v>
      </c>
      <c r="D10" s="12" t="n">
        <f aca="false">COUNTIFS('Test Cases'!$B$2:$B$287,$A10,'Test Cases'!$M$2:$M$287,"Fail")</f>
        <v>0</v>
      </c>
      <c r="E10" s="12" t="n">
        <f aca="false">COUNTIFS('Test Cases'!$B$2:$B$287,$A10,'Test Cases'!$M$2:$M$287,"Blocked")</f>
        <v>0</v>
      </c>
      <c r="F10" s="12" t="n">
        <f aca="false">COUNTIFS('Test Cases'!$B$2:$B$287,$A10,'Test Cases'!$M$2:$M$287,"N/A")</f>
        <v>0</v>
      </c>
      <c r="G10" s="12" t="n">
        <f aca="false">COUNTIFS('Test Cases'!$B$2:$B$287,$A10,'Test Cases'!$M$2:$M$287,"Not Run")</f>
        <v>8</v>
      </c>
      <c r="H10" s="13" t="n">
        <f aca="false">IF(B10=0,0,(B10-G10)/B10)</f>
        <v>0.333333333333333</v>
      </c>
      <c r="I10" s="12" t="n">
        <f aca="false">COUNTIFS('Test Cases'!$B$2:$B$287,$A10,'Test Cases'!$F$2:$F$287,"P0")</f>
        <v>2</v>
      </c>
      <c r="J10" s="12" t="n">
        <f aca="false">I10-COUNTIFS('Test Cases'!$B$2:$B$287,$A10,'Test Cases'!$F$2:$F$287,"P0",'Test Cases'!$M$2:$M$287,"Pass")</f>
        <v>2</v>
      </c>
    </row>
    <row r="11" customFormat="false" ht="15" hidden="false" customHeight="true" outlineLevel="0" collapsed="false">
      <c r="A11" s="11" t="s">
        <v>46</v>
      </c>
      <c r="B11" s="12" t="n">
        <f aca="false">COUNTIF('Test Cases'!$B$2:$B$287,$A11)</f>
        <v>8</v>
      </c>
      <c r="C11" s="12" t="n">
        <f aca="false">COUNTIFS('Test Cases'!$B$2:$B$287,$A11,'Test Cases'!$M$2:$M$287,"Pass")</f>
        <v>0</v>
      </c>
      <c r="D11" s="12" t="n">
        <f aca="false">COUNTIFS('Test Cases'!$B$2:$B$287,$A11,'Test Cases'!$M$2:$M$287,"Fail")</f>
        <v>0</v>
      </c>
      <c r="E11" s="12" t="n">
        <f aca="false">COUNTIFS('Test Cases'!$B$2:$B$287,$A11,'Test Cases'!$M$2:$M$287,"Blocked")</f>
        <v>0</v>
      </c>
      <c r="F11" s="12" t="n">
        <f aca="false">COUNTIFS('Test Cases'!$B$2:$B$287,$A11,'Test Cases'!$M$2:$M$287,"N/A")</f>
        <v>0</v>
      </c>
      <c r="G11" s="12" t="n">
        <f aca="false">COUNTIFS('Test Cases'!$B$2:$B$287,$A11,'Test Cases'!$M$2:$M$287,"Not Run")</f>
        <v>8</v>
      </c>
      <c r="H11" s="13" t="n">
        <f aca="false">IF(B11=0,0,(B11-G11)/B11)</f>
        <v>0</v>
      </c>
      <c r="I11" s="12" t="n">
        <f aca="false">COUNTIFS('Test Cases'!$B$2:$B$287,$A11,'Test Cases'!$F$2:$F$287,"P0")</f>
        <v>0</v>
      </c>
      <c r="J11" s="12" t="n">
        <f aca="false">I11-COUNTIFS('Test Cases'!$B$2:$B$287,$A11,'Test Cases'!$F$2:$F$287,"P0",'Test Cases'!$M$2:$M$287,"Pass")</f>
        <v>0</v>
      </c>
    </row>
    <row r="12" customFormat="false" ht="15" hidden="false" customHeight="true" outlineLevel="0" collapsed="false">
      <c r="A12" s="11" t="s">
        <v>47</v>
      </c>
      <c r="B12" s="12" t="n">
        <f aca="false">COUNTIF('Test Cases'!$B$2:$B$287,$A12)</f>
        <v>40</v>
      </c>
      <c r="C12" s="12" t="n">
        <f aca="false">COUNTIFS('Test Cases'!$B$2:$B$287,$A12,'Test Cases'!$M$2:$M$287,"Pass")</f>
        <v>15</v>
      </c>
      <c r="D12" s="12" t="n">
        <f aca="false">COUNTIFS('Test Cases'!$B$2:$B$287,$A12,'Test Cases'!$M$2:$M$287,"Fail")</f>
        <v>0</v>
      </c>
      <c r="E12" s="12" t="n">
        <f aca="false">COUNTIFS('Test Cases'!$B$2:$B$287,$A12,'Test Cases'!$M$2:$M$287,"Blocked")</f>
        <v>0</v>
      </c>
      <c r="F12" s="12" t="n">
        <f aca="false">COUNTIFS('Test Cases'!$B$2:$B$287,$A12,'Test Cases'!$M$2:$M$287,"N/A")</f>
        <v>0</v>
      </c>
      <c r="G12" s="12" t="n">
        <f aca="false">COUNTIFS('Test Cases'!$B$2:$B$287,$A12,'Test Cases'!$M$2:$M$287,"Not Run")</f>
        <v>25</v>
      </c>
      <c r="H12" s="13" t="n">
        <f aca="false">IF(B12=0,0,(B12-G12)/B12)</f>
        <v>0.375</v>
      </c>
      <c r="I12" s="12" t="n">
        <f aca="false">COUNTIFS('Test Cases'!$B$2:$B$287,$A12,'Test Cases'!$F$2:$F$287,"P0")</f>
        <v>8</v>
      </c>
      <c r="J12" s="12" t="n">
        <f aca="false">I12-COUNTIFS('Test Cases'!$B$2:$B$287,$A12,'Test Cases'!$F$2:$F$287,"P0",'Test Cases'!$M$2:$M$287,"Pass")</f>
        <v>7</v>
      </c>
    </row>
    <row r="13" customFormat="false" ht="15" hidden="false" customHeight="true" outlineLevel="0" collapsed="false">
      <c r="A13" s="11" t="s">
        <v>48</v>
      </c>
      <c r="B13" s="12" t="n">
        <f aca="false">COUNTIF('Test Cases'!$B$2:$B$287,$A13)</f>
        <v>11</v>
      </c>
      <c r="C13" s="12" t="n">
        <f aca="false">COUNTIFS('Test Cases'!$B$2:$B$287,$A13,'Test Cases'!$M$2:$M$287,"Pass")</f>
        <v>9</v>
      </c>
      <c r="D13" s="12" t="n">
        <f aca="false">COUNTIFS('Test Cases'!$B$2:$B$287,$A13,'Test Cases'!$M$2:$M$287,"Fail")</f>
        <v>0</v>
      </c>
      <c r="E13" s="12" t="n">
        <f aca="false">COUNTIFS('Test Cases'!$B$2:$B$287,$A13,'Test Cases'!$M$2:$M$287,"Blocked")</f>
        <v>0</v>
      </c>
      <c r="F13" s="12" t="n">
        <f aca="false">COUNTIFS('Test Cases'!$B$2:$B$287,$A13,'Test Cases'!$M$2:$M$287,"N/A")</f>
        <v>0</v>
      </c>
      <c r="G13" s="12" t="n">
        <f aca="false">COUNTIFS('Test Cases'!$B$2:$B$287,$A13,'Test Cases'!$M$2:$M$287,"Not Run")</f>
        <v>2</v>
      </c>
      <c r="H13" s="13" t="n">
        <f aca="false">IF(B13=0,0,(B13-G13)/B13)</f>
        <v>0.818181818181818</v>
      </c>
      <c r="I13" s="12" t="n">
        <f aca="false">COUNTIFS('Test Cases'!$B$2:$B$287,$A13,'Test Cases'!$F$2:$F$287,"P0")</f>
        <v>1</v>
      </c>
      <c r="J13" s="12" t="n">
        <f aca="false">I13-COUNTIFS('Test Cases'!$B$2:$B$287,$A13,'Test Cases'!$F$2:$F$287,"P0",'Test Cases'!$M$2:$M$287,"Pass")</f>
        <v>0</v>
      </c>
    </row>
    <row r="14" customFormat="false" ht="15" hidden="false" customHeight="true" outlineLevel="0" collapsed="false">
      <c r="A14" s="11" t="s">
        <v>49</v>
      </c>
      <c r="B14" s="12" t="n">
        <f aca="false">COUNTIF('Test Cases'!$B$2:$B$287,$A14)</f>
        <v>16</v>
      </c>
      <c r="C14" s="12" t="n">
        <f aca="false">COUNTIFS('Test Cases'!$B$2:$B$287,$A14,'Test Cases'!$M$2:$M$287,"Pass")</f>
        <v>5</v>
      </c>
      <c r="D14" s="12" t="n">
        <f aca="false">COUNTIFS('Test Cases'!$B$2:$B$287,$A14,'Test Cases'!$M$2:$M$287,"Fail")</f>
        <v>0</v>
      </c>
      <c r="E14" s="12" t="n">
        <f aca="false">COUNTIFS('Test Cases'!$B$2:$B$287,$A14,'Test Cases'!$M$2:$M$287,"Blocked")</f>
        <v>0</v>
      </c>
      <c r="F14" s="12" t="n">
        <f aca="false">COUNTIFS('Test Cases'!$B$2:$B$287,$A14,'Test Cases'!$M$2:$M$287,"N/A")</f>
        <v>0</v>
      </c>
      <c r="G14" s="12" t="n">
        <f aca="false">COUNTIFS('Test Cases'!$B$2:$B$287,$A14,'Test Cases'!$M$2:$M$287,"Not Run")</f>
        <v>11</v>
      </c>
      <c r="H14" s="13" t="n">
        <f aca="false">IF(B14=0,0,(B14-G14)/B14)</f>
        <v>0.3125</v>
      </c>
      <c r="I14" s="12" t="n">
        <f aca="false">COUNTIFS('Test Cases'!$B$2:$B$287,$A14,'Test Cases'!$F$2:$F$287,"P0")</f>
        <v>4</v>
      </c>
      <c r="J14" s="12" t="n">
        <f aca="false">I14-COUNTIFS('Test Cases'!$B$2:$B$287,$A14,'Test Cases'!$F$2:$F$287,"P0",'Test Cases'!$M$2:$M$287,"Pass")</f>
        <v>3</v>
      </c>
    </row>
    <row r="15" customFormat="false" ht="15" hidden="false" customHeight="true" outlineLevel="0" collapsed="false">
      <c r="A15" s="11" t="s">
        <v>50</v>
      </c>
      <c r="B15" s="12" t="n">
        <f aca="false">COUNTIF('Test Cases'!$B$2:$B$287,$A15)</f>
        <v>22</v>
      </c>
      <c r="C15" s="12" t="n">
        <f aca="false">COUNTIFS('Test Cases'!$B$2:$B$287,$A15,'Test Cases'!$M$2:$M$287,"Pass")</f>
        <v>14</v>
      </c>
      <c r="D15" s="12" t="n">
        <f aca="false">COUNTIFS('Test Cases'!$B$2:$B$287,$A15,'Test Cases'!$M$2:$M$287,"Fail")</f>
        <v>0</v>
      </c>
      <c r="E15" s="12" t="n">
        <f aca="false">COUNTIFS('Test Cases'!$B$2:$B$287,$A15,'Test Cases'!$M$2:$M$287,"Blocked")</f>
        <v>0</v>
      </c>
      <c r="F15" s="12" t="n">
        <f aca="false">COUNTIFS('Test Cases'!$B$2:$B$287,$A15,'Test Cases'!$M$2:$M$287,"N/A")</f>
        <v>0</v>
      </c>
      <c r="G15" s="12" t="n">
        <f aca="false">COUNTIFS('Test Cases'!$B$2:$B$287,$A15,'Test Cases'!$M$2:$M$287,"Not Run")</f>
        <v>8</v>
      </c>
      <c r="H15" s="13" t="n">
        <f aca="false">IF(B15=0,0,(B15-G15)/B15)</f>
        <v>0.636363636363636</v>
      </c>
      <c r="I15" s="12" t="n">
        <f aca="false">COUNTIFS('Test Cases'!$B$2:$B$287,$A15,'Test Cases'!$F$2:$F$287,"P0")</f>
        <v>2</v>
      </c>
      <c r="J15" s="12" t="n">
        <f aca="false">I15-COUNTIFS('Test Cases'!$B$2:$B$287,$A15,'Test Cases'!$F$2:$F$287,"P0",'Test Cases'!$M$2:$M$287,"Pass")</f>
        <v>1</v>
      </c>
    </row>
    <row r="16" customFormat="false" ht="15" hidden="false" customHeight="true" outlineLevel="0" collapsed="false">
      <c r="A16" s="11" t="s">
        <v>51</v>
      </c>
      <c r="B16" s="12" t="n">
        <f aca="false">COUNTIF('Test Cases'!$B$2:$B$287,$A16)</f>
        <v>20</v>
      </c>
      <c r="C16" s="12" t="n">
        <f aca="false">COUNTIFS('Test Cases'!$B$2:$B$287,$A16,'Test Cases'!$M$2:$M$287,"Pass")</f>
        <v>0</v>
      </c>
      <c r="D16" s="12" t="n">
        <f aca="false">COUNTIFS('Test Cases'!$B$2:$B$287,$A16,'Test Cases'!$M$2:$M$287,"Fail")</f>
        <v>0</v>
      </c>
      <c r="E16" s="12" t="n">
        <f aca="false">COUNTIFS('Test Cases'!$B$2:$B$287,$A16,'Test Cases'!$M$2:$M$287,"Blocked")</f>
        <v>0</v>
      </c>
      <c r="F16" s="12" t="n">
        <f aca="false">COUNTIFS('Test Cases'!$B$2:$B$287,$A16,'Test Cases'!$M$2:$M$287,"N/A")</f>
        <v>0</v>
      </c>
      <c r="G16" s="12" t="n">
        <f aca="false">COUNTIFS('Test Cases'!$B$2:$B$287,$A16,'Test Cases'!$M$2:$M$287,"Not Run")</f>
        <v>20</v>
      </c>
      <c r="H16" s="13" t="n">
        <f aca="false">IF(B16=0,0,(B16-G16)/B16)</f>
        <v>0</v>
      </c>
      <c r="I16" s="12" t="n">
        <f aca="false">COUNTIFS('Test Cases'!$B$2:$B$287,$A16,'Test Cases'!$F$2:$F$287,"P0")</f>
        <v>9</v>
      </c>
      <c r="J16" s="12" t="n">
        <f aca="false">I16-COUNTIFS('Test Cases'!$B$2:$B$287,$A16,'Test Cases'!$F$2:$F$287,"P0",'Test Cases'!$M$2:$M$287,"Pass")</f>
        <v>9</v>
      </c>
    </row>
    <row r="17" customFormat="false" ht="15" hidden="false" customHeight="true" outlineLevel="0" collapsed="false">
      <c r="A17" s="11" t="s">
        <v>52</v>
      </c>
      <c r="B17" s="12" t="n">
        <f aca="false">COUNTIF('Test Cases'!$B$2:$B$287,$A17)</f>
        <v>10</v>
      </c>
      <c r="C17" s="12" t="n">
        <f aca="false">COUNTIFS('Test Cases'!$B$2:$B$287,$A17,'Test Cases'!$M$2:$M$287,"Pass")</f>
        <v>1</v>
      </c>
      <c r="D17" s="12" t="n">
        <f aca="false">COUNTIFS('Test Cases'!$B$2:$B$287,$A17,'Test Cases'!$M$2:$M$287,"Fail")</f>
        <v>0</v>
      </c>
      <c r="E17" s="12" t="n">
        <f aca="false">COUNTIFS('Test Cases'!$B$2:$B$287,$A17,'Test Cases'!$M$2:$M$287,"Blocked")</f>
        <v>0</v>
      </c>
      <c r="F17" s="12" t="n">
        <f aca="false">COUNTIFS('Test Cases'!$B$2:$B$287,$A17,'Test Cases'!$M$2:$M$287,"N/A")</f>
        <v>0</v>
      </c>
      <c r="G17" s="12" t="n">
        <f aca="false">COUNTIFS('Test Cases'!$B$2:$B$287,$A17,'Test Cases'!$M$2:$M$287,"Not Run")</f>
        <v>9</v>
      </c>
      <c r="H17" s="13" t="n">
        <f aca="false">IF(B17=0,0,(B17-G17)/B17)</f>
        <v>0.1</v>
      </c>
      <c r="I17" s="12" t="n">
        <f aca="false">COUNTIFS('Test Cases'!$B$2:$B$287,$A17,'Test Cases'!$F$2:$F$287,"P0")</f>
        <v>3</v>
      </c>
      <c r="J17" s="12" t="n">
        <f aca="false">I17-COUNTIFS('Test Cases'!$B$2:$B$287,$A17,'Test Cases'!$F$2:$F$287,"P0",'Test Cases'!$M$2:$M$287,"Pass")</f>
        <v>3</v>
      </c>
    </row>
    <row r="18" customFormat="false" ht="15" hidden="false" customHeight="true" outlineLevel="0" collapsed="false">
      <c r="A18" s="14" t="s">
        <v>31</v>
      </c>
      <c r="B18" s="15" t="n">
        <f aca="false">SUM(B4:B17)</f>
        <v>286</v>
      </c>
      <c r="C18" s="15" t="n">
        <f aca="false">SUM(C4:C17)</f>
        <v>77</v>
      </c>
      <c r="D18" s="15" t="n">
        <f aca="false">SUM(D4:D17)</f>
        <v>0</v>
      </c>
      <c r="E18" s="15" t="n">
        <f aca="false">SUM(E4:E17)</f>
        <v>0</v>
      </c>
      <c r="F18" s="15" t="n">
        <f aca="false">SUM(F4:F17)</f>
        <v>0</v>
      </c>
      <c r="G18" s="15" t="n">
        <f aca="false">SUM(G4:G17)</f>
        <v>209</v>
      </c>
      <c r="H18" s="16" t="n">
        <f aca="false">IF(B18=0,0,(B18-G18)/B18)</f>
        <v>0.269230769230769</v>
      </c>
      <c r="I18" s="15" t="n">
        <f aca="false">SUM(I4:I17)</f>
        <v>57</v>
      </c>
      <c r="J18" s="15" t="n">
        <f aca="false">SUM(J4:J17)</f>
        <v>46</v>
      </c>
    </row>
    <row r="20" customFormat="false" ht="15" hidden="false" customHeight="true" outlineLevel="0" collapsed="false">
      <c r="A20" s="17" t="s">
        <v>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20"/>
    <col collapsed="false" customWidth="true" hidden="false" outlineLevel="0" max="3" min="3" style="1" width="18"/>
    <col collapsed="false" customWidth="true" hidden="false" outlineLevel="0" max="4" min="4" style="1" width="38"/>
    <col collapsed="false" customWidth="true" hidden="false" outlineLevel="0" max="5" min="5" style="1" width="12"/>
    <col collapsed="false" customWidth="true" hidden="false" outlineLevel="0" max="6" min="6" style="1" width="9"/>
    <col collapsed="false" customWidth="true" hidden="false" outlineLevel="0" max="7" min="7" style="1" width="16"/>
    <col collapsed="false" customWidth="true" hidden="false" outlineLevel="0" max="8" min="8" style="1" width="30"/>
    <col collapsed="false" customWidth="true" hidden="false" outlineLevel="0" max="9" min="9" style="1" width="50"/>
    <col collapsed="false" customWidth="true" hidden="false" outlineLevel="0" max="10" min="10" style="1" width="28"/>
    <col collapsed="false" customWidth="true" hidden="false" outlineLevel="0" max="11" min="11" style="1" width="50"/>
    <col collapsed="false" customWidth="true" hidden="false" outlineLevel="0" max="12" min="12" style="1" width="34"/>
    <col collapsed="false" customWidth="true" hidden="false" outlineLevel="0" max="13" min="13" style="1" width="12"/>
    <col collapsed="false" customWidth="true" hidden="false" outlineLevel="0" max="14" min="14" style="1" width="34"/>
    <col collapsed="false" customWidth="true" hidden="false" outlineLevel="0" max="15" min="15" style="1" width="14"/>
    <col collapsed="false" customWidth="true" hidden="false" outlineLevel="0" max="17" min="16" style="1" width="12"/>
  </cols>
  <sheetData>
    <row r="1" customFormat="false" ht="30" hidden="false" customHeight="true" outlineLevel="0" collapsed="false">
      <c r="A1" s="18" t="s">
        <v>14</v>
      </c>
      <c r="B1" s="18" t="s">
        <v>30</v>
      </c>
      <c r="C1" s="18" t="s">
        <v>54</v>
      </c>
      <c r="D1" s="18" t="s">
        <v>15</v>
      </c>
      <c r="E1" s="18" t="s">
        <v>55</v>
      </c>
      <c r="F1" s="18" t="s">
        <v>56</v>
      </c>
      <c r="G1" s="18" t="s">
        <v>57</v>
      </c>
      <c r="H1" s="18" t="s">
        <v>58</v>
      </c>
      <c r="I1" s="18" t="s">
        <v>59</v>
      </c>
      <c r="J1" s="18" t="s">
        <v>60</v>
      </c>
      <c r="K1" s="18" t="s">
        <v>61</v>
      </c>
      <c r="L1" s="18" t="s">
        <v>62</v>
      </c>
      <c r="M1" s="19" t="s">
        <v>16</v>
      </c>
      <c r="N1" s="19" t="s">
        <v>17</v>
      </c>
      <c r="O1" s="19" t="s">
        <v>18</v>
      </c>
      <c r="P1" s="19" t="s">
        <v>19</v>
      </c>
      <c r="Q1" s="19" t="s">
        <v>20</v>
      </c>
    </row>
    <row r="2" customFormat="false" ht="45.75" hidden="false" customHeight="true" outlineLevel="0" collapsed="false">
      <c r="A2" s="20" t="s">
        <v>63</v>
      </c>
      <c r="B2" s="20" t="s">
        <v>39</v>
      </c>
      <c r="C2" s="20" t="s">
        <v>64</v>
      </c>
      <c r="D2" s="20" t="s">
        <v>65</v>
      </c>
      <c r="E2" s="20" t="s">
        <v>66</v>
      </c>
      <c r="F2" s="20" t="s">
        <v>67</v>
      </c>
      <c r="G2" s="20" t="s">
        <v>68</v>
      </c>
      <c r="H2" s="20" t="s">
        <v>69</v>
      </c>
      <c r="I2" s="20" t="s">
        <v>70</v>
      </c>
      <c r="J2" s="20" t="s">
        <v>71</v>
      </c>
      <c r="K2" s="20" t="s">
        <v>72</v>
      </c>
      <c r="L2" s="20" t="s">
        <v>73</v>
      </c>
      <c r="M2" s="21" t="s">
        <v>35</v>
      </c>
      <c r="N2" s="22"/>
      <c r="O2" s="22"/>
      <c r="P2" s="22"/>
      <c r="Q2" s="22"/>
    </row>
    <row r="3" customFormat="false" ht="45.75" hidden="false" customHeight="true" outlineLevel="0" collapsed="false">
      <c r="A3" s="20" t="s">
        <v>74</v>
      </c>
      <c r="B3" s="20" t="s">
        <v>39</v>
      </c>
      <c r="C3" s="20" t="s">
        <v>64</v>
      </c>
      <c r="D3" s="20" t="s">
        <v>75</v>
      </c>
      <c r="E3" s="20" t="s">
        <v>66</v>
      </c>
      <c r="F3" s="20" t="s">
        <v>76</v>
      </c>
      <c r="G3" s="20" t="s">
        <v>68</v>
      </c>
      <c r="H3" s="20" t="s">
        <v>77</v>
      </c>
      <c r="I3" s="20" t="s">
        <v>78</v>
      </c>
      <c r="J3" s="20" t="s">
        <v>79</v>
      </c>
      <c r="K3" s="20" t="s">
        <v>80</v>
      </c>
      <c r="L3" s="20" t="s">
        <v>73</v>
      </c>
      <c r="M3" s="21" t="s">
        <v>35</v>
      </c>
      <c r="N3" s="22"/>
      <c r="O3" s="22"/>
      <c r="P3" s="22"/>
      <c r="Q3" s="22"/>
    </row>
    <row r="4" customFormat="false" ht="34.5" hidden="false" customHeight="true" outlineLevel="0" collapsed="false">
      <c r="A4" s="20" t="s">
        <v>21</v>
      </c>
      <c r="B4" s="20" t="s">
        <v>39</v>
      </c>
      <c r="C4" s="20" t="s">
        <v>64</v>
      </c>
      <c r="D4" s="20" t="s">
        <v>22</v>
      </c>
      <c r="E4" s="20" t="s">
        <v>81</v>
      </c>
      <c r="F4" s="20" t="s">
        <v>67</v>
      </c>
      <c r="G4" s="20" t="s">
        <v>82</v>
      </c>
      <c r="H4" s="20" t="s">
        <v>77</v>
      </c>
      <c r="I4" s="20" t="s">
        <v>83</v>
      </c>
      <c r="J4" s="20" t="s">
        <v>84</v>
      </c>
      <c r="K4" s="20" t="s">
        <v>85</v>
      </c>
      <c r="L4" s="20" t="s">
        <v>86</v>
      </c>
      <c r="M4" s="21" t="s">
        <v>35</v>
      </c>
      <c r="N4" s="22"/>
      <c r="O4" s="22"/>
      <c r="P4" s="22"/>
      <c r="Q4" s="22"/>
    </row>
    <row r="5" customFormat="false" ht="34.5" hidden="false" customHeight="true" outlineLevel="0" collapsed="false">
      <c r="A5" s="20" t="s">
        <v>87</v>
      </c>
      <c r="B5" s="20" t="s">
        <v>39</v>
      </c>
      <c r="C5" s="20" t="s">
        <v>64</v>
      </c>
      <c r="D5" s="20" t="s">
        <v>88</v>
      </c>
      <c r="E5" s="20" t="s">
        <v>81</v>
      </c>
      <c r="F5" s="20" t="s">
        <v>89</v>
      </c>
      <c r="G5" s="20" t="s">
        <v>82</v>
      </c>
      <c r="H5" s="20" t="s">
        <v>90</v>
      </c>
      <c r="I5" s="20" t="s">
        <v>91</v>
      </c>
      <c r="J5" s="20" t="s">
        <v>92</v>
      </c>
      <c r="K5" s="20" t="s">
        <v>93</v>
      </c>
      <c r="L5" s="20" t="s">
        <v>86</v>
      </c>
      <c r="M5" s="21" t="s">
        <v>35</v>
      </c>
      <c r="N5" s="22"/>
      <c r="O5" s="22"/>
      <c r="P5" s="22"/>
      <c r="Q5" s="22"/>
    </row>
    <row r="6" customFormat="false" ht="45.75" hidden="false" customHeight="true" outlineLevel="0" collapsed="false">
      <c r="A6" s="20" t="s">
        <v>94</v>
      </c>
      <c r="B6" s="20" t="s">
        <v>39</v>
      </c>
      <c r="C6" s="20" t="s">
        <v>64</v>
      </c>
      <c r="D6" s="20" t="s">
        <v>95</v>
      </c>
      <c r="E6" s="20" t="s">
        <v>96</v>
      </c>
      <c r="F6" s="20" t="s">
        <v>89</v>
      </c>
      <c r="G6" s="20" t="s">
        <v>82</v>
      </c>
      <c r="H6" s="20" t="s">
        <v>97</v>
      </c>
      <c r="I6" s="20" t="s">
        <v>98</v>
      </c>
      <c r="J6" s="20" t="s">
        <v>99</v>
      </c>
      <c r="K6" s="20" t="s">
        <v>100</v>
      </c>
      <c r="L6" s="20" t="s">
        <v>73</v>
      </c>
      <c r="M6" s="21" t="s">
        <v>35</v>
      </c>
      <c r="N6" s="22"/>
      <c r="O6" s="22"/>
      <c r="P6" s="22"/>
      <c r="Q6" s="22"/>
    </row>
    <row r="7" customFormat="false" ht="45.75" hidden="false" customHeight="true" outlineLevel="0" collapsed="false">
      <c r="A7" s="20" t="s">
        <v>101</v>
      </c>
      <c r="B7" s="20" t="s">
        <v>39</v>
      </c>
      <c r="C7" s="20" t="s">
        <v>64</v>
      </c>
      <c r="D7" s="20" t="s">
        <v>102</v>
      </c>
      <c r="E7" s="20" t="s">
        <v>96</v>
      </c>
      <c r="F7" s="20" t="s">
        <v>89</v>
      </c>
      <c r="G7" s="20" t="s">
        <v>82</v>
      </c>
      <c r="H7" s="20" t="s">
        <v>97</v>
      </c>
      <c r="I7" s="20" t="s">
        <v>103</v>
      </c>
      <c r="J7" s="20" t="s">
        <v>104</v>
      </c>
      <c r="K7" s="20" t="s">
        <v>105</v>
      </c>
      <c r="L7" s="20" t="s">
        <v>73</v>
      </c>
      <c r="M7" s="21" t="s">
        <v>35</v>
      </c>
      <c r="N7" s="22"/>
      <c r="O7" s="22"/>
      <c r="P7" s="22"/>
      <c r="Q7" s="22"/>
    </row>
    <row r="8" customFormat="false" ht="45.75" hidden="false" customHeight="true" outlineLevel="0" collapsed="false">
      <c r="A8" s="20" t="s">
        <v>106</v>
      </c>
      <c r="B8" s="20" t="s">
        <v>39</v>
      </c>
      <c r="C8" s="20" t="s">
        <v>64</v>
      </c>
      <c r="D8" s="20" t="s">
        <v>107</v>
      </c>
      <c r="E8" s="20" t="s">
        <v>96</v>
      </c>
      <c r="F8" s="20" t="s">
        <v>89</v>
      </c>
      <c r="G8" s="20" t="s">
        <v>82</v>
      </c>
      <c r="H8" s="20" t="s">
        <v>97</v>
      </c>
      <c r="I8" s="20" t="s">
        <v>108</v>
      </c>
      <c r="J8" s="20" t="s">
        <v>109</v>
      </c>
      <c r="K8" s="20" t="s">
        <v>110</v>
      </c>
      <c r="L8" s="20" t="s">
        <v>73</v>
      </c>
      <c r="M8" s="21" t="s">
        <v>35</v>
      </c>
      <c r="N8" s="22"/>
      <c r="O8" s="22"/>
      <c r="P8" s="22"/>
      <c r="Q8" s="22"/>
    </row>
    <row r="9" customFormat="false" ht="45.75" hidden="false" customHeight="true" outlineLevel="0" collapsed="false">
      <c r="A9" s="20" t="s">
        <v>111</v>
      </c>
      <c r="B9" s="20" t="s">
        <v>39</v>
      </c>
      <c r="C9" s="20" t="s">
        <v>64</v>
      </c>
      <c r="D9" s="20" t="s">
        <v>112</v>
      </c>
      <c r="E9" s="20" t="s">
        <v>96</v>
      </c>
      <c r="F9" s="20" t="s">
        <v>76</v>
      </c>
      <c r="G9" s="20" t="s">
        <v>82</v>
      </c>
      <c r="H9" s="20" t="s">
        <v>97</v>
      </c>
      <c r="I9" s="20" t="s">
        <v>113</v>
      </c>
      <c r="J9" s="20" t="s">
        <v>114</v>
      </c>
      <c r="K9" s="20" t="s">
        <v>115</v>
      </c>
      <c r="L9" s="20" t="s">
        <v>73</v>
      </c>
      <c r="M9" s="21" t="s">
        <v>35</v>
      </c>
      <c r="N9" s="22"/>
      <c r="O9" s="22"/>
      <c r="P9" s="22"/>
      <c r="Q9" s="22"/>
    </row>
    <row r="10" customFormat="false" ht="45.75" hidden="false" customHeight="true" outlineLevel="0" collapsed="false">
      <c r="A10" s="20" t="s">
        <v>116</v>
      </c>
      <c r="B10" s="20" t="s">
        <v>39</v>
      </c>
      <c r="C10" s="20" t="s">
        <v>64</v>
      </c>
      <c r="D10" s="20" t="s">
        <v>117</v>
      </c>
      <c r="E10" s="20" t="s">
        <v>118</v>
      </c>
      <c r="F10" s="20" t="s">
        <v>119</v>
      </c>
      <c r="G10" s="20" t="s">
        <v>82</v>
      </c>
      <c r="H10" s="20" t="s">
        <v>97</v>
      </c>
      <c r="I10" s="20" t="s">
        <v>120</v>
      </c>
      <c r="J10" s="20" t="s">
        <v>121</v>
      </c>
      <c r="K10" s="20" t="s">
        <v>122</v>
      </c>
      <c r="L10" s="20" t="s">
        <v>73</v>
      </c>
      <c r="M10" s="21" t="s">
        <v>35</v>
      </c>
      <c r="N10" s="22"/>
      <c r="O10" s="22"/>
      <c r="P10" s="22"/>
      <c r="Q10" s="22"/>
    </row>
    <row r="11" customFormat="false" ht="34.5" hidden="false" customHeight="true" outlineLevel="0" collapsed="false">
      <c r="A11" s="20" t="s">
        <v>123</v>
      </c>
      <c r="B11" s="20" t="s">
        <v>39</v>
      </c>
      <c r="C11" s="20" t="s">
        <v>64</v>
      </c>
      <c r="D11" s="20" t="s">
        <v>124</v>
      </c>
      <c r="E11" s="20" t="s">
        <v>81</v>
      </c>
      <c r="F11" s="20" t="s">
        <v>67</v>
      </c>
      <c r="G11" s="20" t="s">
        <v>68</v>
      </c>
      <c r="H11" s="20" t="s">
        <v>125</v>
      </c>
      <c r="I11" s="20" t="s">
        <v>126</v>
      </c>
      <c r="J11" s="20" t="s">
        <v>127</v>
      </c>
      <c r="K11" s="20" t="s">
        <v>128</v>
      </c>
      <c r="L11" s="20" t="s">
        <v>129</v>
      </c>
      <c r="M11" s="21" t="s">
        <v>32</v>
      </c>
      <c r="N11" s="22" t="s">
        <v>130</v>
      </c>
      <c r="O11" s="22" t="s">
        <v>131</v>
      </c>
      <c r="P11" s="22" t="s">
        <v>132</v>
      </c>
      <c r="Q11" s="22"/>
    </row>
    <row r="12" customFormat="false" ht="34.5" hidden="false" customHeight="true" outlineLevel="0" collapsed="false">
      <c r="A12" s="20" t="s">
        <v>133</v>
      </c>
      <c r="B12" s="20" t="s">
        <v>39</v>
      </c>
      <c r="C12" s="20" t="s">
        <v>64</v>
      </c>
      <c r="D12" s="20" t="s">
        <v>134</v>
      </c>
      <c r="E12" s="20" t="s">
        <v>81</v>
      </c>
      <c r="F12" s="20" t="s">
        <v>67</v>
      </c>
      <c r="G12" s="20" t="s">
        <v>68</v>
      </c>
      <c r="H12" s="20" t="s">
        <v>135</v>
      </c>
      <c r="I12" s="20" t="s">
        <v>136</v>
      </c>
      <c r="J12" s="20" t="s">
        <v>137</v>
      </c>
      <c r="K12" s="20" t="s">
        <v>138</v>
      </c>
      <c r="L12" s="20" t="s">
        <v>129</v>
      </c>
      <c r="M12" s="21" t="s">
        <v>32</v>
      </c>
      <c r="N12" s="22" t="s">
        <v>130</v>
      </c>
      <c r="O12" s="22" t="s">
        <v>131</v>
      </c>
      <c r="P12" s="22" t="s">
        <v>132</v>
      </c>
      <c r="Q12" s="22"/>
    </row>
    <row r="13" customFormat="false" ht="34.5" hidden="false" customHeight="true" outlineLevel="0" collapsed="false">
      <c r="A13" s="20" t="s">
        <v>139</v>
      </c>
      <c r="B13" s="20" t="s">
        <v>39</v>
      </c>
      <c r="C13" s="20" t="s">
        <v>64</v>
      </c>
      <c r="D13" s="20" t="s">
        <v>140</v>
      </c>
      <c r="E13" s="20" t="s">
        <v>81</v>
      </c>
      <c r="F13" s="20" t="s">
        <v>67</v>
      </c>
      <c r="G13" s="20" t="s">
        <v>68</v>
      </c>
      <c r="H13" s="20" t="s">
        <v>141</v>
      </c>
      <c r="I13" s="20" t="s">
        <v>142</v>
      </c>
      <c r="J13" s="20" t="s">
        <v>143</v>
      </c>
      <c r="K13" s="20" t="s">
        <v>144</v>
      </c>
      <c r="L13" s="20" t="s">
        <v>129</v>
      </c>
      <c r="M13" s="21" t="s">
        <v>32</v>
      </c>
      <c r="N13" s="22" t="s">
        <v>130</v>
      </c>
      <c r="O13" s="22" t="s">
        <v>131</v>
      </c>
      <c r="P13" s="22" t="s">
        <v>132</v>
      </c>
      <c r="Q13" s="22"/>
    </row>
    <row r="14" customFormat="false" ht="34.5" hidden="false" customHeight="true" outlineLevel="0" collapsed="false">
      <c r="A14" s="20" t="s">
        <v>145</v>
      </c>
      <c r="B14" s="20" t="s">
        <v>39</v>
      </c>
      <c r="C14" s="20" t="s">
        <v>64</v>
      </c>
      <c r="D14" s="20" t="s">
        <v>146</v>
      </c>
      <c r="E14" s="20" t="s">
        <v>81</v>
      </c>
      <c r="F14" s="20" t="s">
        <v>89</v>
      </c>
      <c r="G14" s="20" t="s">
        <v>68</v>
      </c>
      <c r="H14" s="20" t="s">
        <v>147</v>
      </c>
      <c r="I14" s="20" t="s">
        <v>148</v>
      </c>
      <c r="J14" s="20" t="s">
        <v>149</v>
      </c>
      <c r="K14" s="20" t="s">
        <v>150</v>
      </c>
      <c r="L14" s="20" t="s">
        <v>151</v>
      </c>
      <c r="M14" s="21" t="s">
        <v>35</v>
      </c>
      <c r="N14" s="22"/>
      <c r="O14" s="22"/>
      <c r="P14" s="22"/>
      <c r="Q14" s="22"/>
    </row>
    <row r="15" customFormat="false" ht="34.5" hidden="false" customHeight="true" outlineLevel="0" collapsed="false">
      <c r="A15" s="20" t="s">
        <v>152</v>
      </c>
      <c r="B15" s="20" t="s">
        <v>39</v>
      </c>
      <c r="C15" s="20" t="s">
        <v>64</v>
      </c>
      <c r="D15" s="20" t="s">
        <v>153</v>
      </c>
      <c r="E15" s="20" t="s">
        <v>154</v>
      </c>
      <c r="F15" s="20" t="s">
        <v>119</v>
      </c>
      <c r="G15" s="20" t="s">
        <v>82</v>
      </c>
      <c r="H15" s="20" t="s">
        <v>97</v>
      </c>
      <c r="I15" s="20" t="s">
        <v>155</v>
      </c>
      <c r="J15" s="20" t="s">
        <v>156</v>
      </c>
      <c r="K15" s="20" t="s">
        <v>157</v>
      </c>
      <c r="L15" s="20" t="s">
        <v>158</v>
      </c>
      <c r="M15" s="21" t="s">
        <v>35</v>
      </c>
      <c r="N15" s="22"/>
      <c r="O15" s="22"/>
      <c r="P15" s="22"/>
      <c r="Q15" s="22"/>
    </row>
    <row r="16" customFormat="false" ht="23.25" hidden="false" customHeight="true" outlineLevel="0" collapsed="false">
      <c r="A16" s="20" t="s">
        <v>159</v>
      </c>
      <c r="B16" s="20" t="s">
        <v>39</v>
      </c>
      <c r="C16" s="20" t="s">
        <v>64</v>
      </c>
      <c r="D16" s="20" t="s">
        <v>160</v>
      </c>
      <c r="E16" s="20" t="s">
        <v>161</v>
      </c>
      <c r="F16" s="20" t="s">
        <v>67</v>
      </c>
      <c r="G16" s="20" t="s">
        <v>82</v>
      </c>
      <c r="H16" s="20" t="s">
        <v>162</v>
      </c>
      <c r="I16" s="20" t="s">
        <v>163</v>
      </c>
      <c r="J16" s="20" t="s">
        <v>97</v>
      </c>
      <c r="K16" s="20" t="s">
        <v>164</v>
      </c>
      <c r="L16" s="20" t="s">
        <v>165</v>
      </c>
      <c r="M16" s="21" t="s">
        <v>35</v>
      </c>
      <c r="N16" s="22"/>
      <c r="O16" s="22"/>
      <c r="P16" s="22"/>
      <c r="Q16" s="22"/>
    </row>
    <row r="17" customFormat="false" ht="34.5" hidden="false" customHeight="true" outlineLevel="0" collapsed="false">
      <c r="A17" s="20" t="s">
        <v>166</v>
      </c>
      <c r="B17" s="20" t="s">
        <v>39</v>
      </c>
      <c r="C17" s="20" t="s">
        <v>167</v>
      </c>
      <c r="D17" s="20" t="s">
        <v>168</v>
      </c>
      <c r="E17" s="20" t="s">
        <v>66</v>
      </c>
      <c r="F17" s="20" t="s">
        <v>89</v>
      </c>
      <c r="G17" s="20" t="s">
        <v>68</v>
      </c>
      <c r="H17" s="20" t="s">
        <v>169</v>
      </c>
      <c r="I17" s="20" t="s">
        <v>170</v>
      </c>
      <c r="J17" s="20" t="s">
        <v>97</v>
      </c>
      <c r="K17" s="20" t="s">
        <v>171</v>
      </c>
      <c r="L17" s="20" t="s">
        <v>165</v>
      </c>
      <c r="M17" s="21" t="s">
        <v>35</v>
      </c>
      <c r="N17" s="22"/>
      <c r="O17" s="22"/>
      <c r="P17" s="22"/>
      <c r="Q17" s="22"/>
    </row>
    <row r="18" customFormat="false" ht="23.25" hidden="false" customHeight="true" outlineLevel="0" collapsed="false">
      <c r="A18" s="20" t="s">
        <v>172</v>
      </c>
      <c r="B18" s="20" t="s">
        <v>39</v>
      </c>
      <c r="C18" s="20" t="s">
        <v>167</v>
      </c>
      <c r="D18" s="20" t="s">
        <v>173</v>
      </c>
      <c r="E18" s="20" t="s">
        <v>81</v>
      </c>
      <c r="F18" s="20" t="s">
        <v>67</v>
      </c>
      <c r="G18" s="20" t="s">
        <v>68</v>
      </c>
      <c r="H18" s="20" t="s">
        <v>169</v>
      </c>
      <c r="I18" s="20" t="s">
        <v>174</v>
      </c>
      <c r="J18" s="20" t="s">
        <v>175</v>
      </c>
      <c r="K18" s="20" t="s">
        <v>176</v>
      </c>
      <c r="L18" s="20" t="s">
        <v>177</v>
      </c>
      <c r="M18" s="21" t="s">
        <v>35</v>
      </c>
      <c r="N18" s="22"/>
      <c r="O18" s="22"/>
      <c r="P18" s="22"/>
      <c r="Q18" s="22"/>
    </row>
    <row r="19" customFormat="false" ht="34.5" hidden="false" customHeight="true" outlineLevel="0" collapsed="false">
      <c r="A19" s="20" t="s">
        <v>178</v>
      </c>
      <c r="B19" s="20" t="s">
        <v>39</v>
      </c>
      <c r="C19" s="20" t="s">
        <v>179</v>
      </c>
      <c r="D19" s="20" t="s">
        <v>180</v>
      </c>
      <c r="E19" s="20" t="s">
        <v>66</v>
      </c>
      <c r="F19" s="20" t="s">
        <v>89</v>
      </c>
      <c r="G19" s="20" t="s">
        <v>82</v>
      </c>
      <c r="H19" s="20" t="s">
        <v>77</v>
      </c>
      <c r="I19" s="20" t="s">
        <v>181</v>
      </c>
      <c r="J19" s="20" t="s">
        <v>182</v>
      </c>
      <c r="K19" s="20" t="s">
        <v>183</v>
      </c>
      <c r="L19" s="20" t="s">
        <v>73</v>
      </c>
      <c r="M19" s="21" t="s">
        <v>35</v>
      </c>
      <c r="N19" s="22"/>
      <c r="O19" s="22"/>
      <c r="P19" s="22"/>
      <c r="Q19" s="22"/>
    </row>
    <row r="20" customFormat="false" ht="34.5" hidden="false" customHeight="true" outlineLevel="0" collapsed="false">
      <c r="A20" s="20" t="s">
        <v>184</v>
      </c>
      <c r="B20" s="20" t="s">
        <v>39</v>
      </c>
      <c r="C20" s="20" t="s">
        <v>179</v>
      </c>
      <c r="D20" s="20" t="s">
        <v>185</v>
      </c>
      <c r="E20" s="20" t="s">
        <v>96</v>
      </c>
      <c r="F20" s="20" t="s">
        <v>76</v>
      </c>
      <c r="G20" s="20" t="s">
        <v>82</v>
      </c>
      <c r="H20" s="20" t="s">
        <v>97</v>
      </c>
      <c r="I20" s="20" t="s">
        <v>186</v>
      </c>
      <c r="J20" s="20" t="s">
        <v>187</v>
      </c>
      <c r="K20" s="20" t="s">
        <v>188</v>
      </c>
      <c r="L20" s="20" t="s">
        <v>73</v>
      </c>
      <c r="M20" s="21" t="s">
        <v>35</v>
      </c>
      <c r="N20" s="22"/>
      <c r="O20" s="22"/>
      <c r="P20" s="22"/>
      <c r="Q20" s="22"/>
    </row>
    <row r="21" customFormat="false" ht="34.5" hidden="false" customHeight="true" outlineLevel="0" collapsed="false">
      <c r="A21" s="20" t="s">
        <v>189</v>
      </c>
      <c r="B21" s="20" t="s">
        <v>39</v>
      </c>
      <c r="C21" s="20" t="s">
        <v>179</v>
      </c>
      <c r="D21" s="20" t="s">
        <v>190</v>
      </c>
      <c r="E21" s="20" t="s">
        <v>96</v>
      </c>
      <c r="F21" s="20" t="s">
        <v>76</v>
      </c>
      <c r="G21" s="20" t="s">
        <v>82</v>
      </c>
      <c r="H21" s="20" t="s">
        <v>97</v>
      </c>
      <c r="I21" s="20" t="s">
        <v>191</v>
      </c>
      <c r="J21" s="20" t="s">
        <v>192</v>
      </c>
      <c r="K21" s="20" t="s">
        <v>193</v>
      </c>
      <c r="L21" s="20" t="s">
        <v>73</v>
      </c>
      <c r="M21" s="21" t="s">
        <v>35</v>
      </c>
      <c r="N21" s="22"/>
      <c r="O21" s="22"/>
      <c r="P21" s="22"/>
      <c r="Q21" s="22"/>
    </row>
    <row r="22" customFormat="false" ht="45.75" hidden="false" customHeight="true" outlineLevel="0" collapsed="false">
      <c r="A22" s="20" t="s">
        <v>194</v>
      </c>
      <c r="B22" s="20" t="s">
        <v>39</v>
      </c>
      <c r="C22" s="20" t="s">
        <v>195</v>
      </c>
      <c r="D22" s="20" t="s">
        <v>196</v>
      </c>
      <c r="E22" s="20" t="s">
        <v>66</v>
      </c>
      <c r="F22" s="20" t="s">
        <v>67</v>
      </c>
      <c r="G22" s="20" t="s">
        <v>82</v>
      </c>
      <c r="H22" s="20" t="s">
        <v>197</v>
      </c>
      <c r="I22" s="20" t="s">
        <v>198</v>
      </c>
      <c r="J22" s="20" t="s">
        <v>199</v>
      </c>
      <c r="K22" s="20" t="s">
        <v>200</v>
      </c>
      <c r="L22" s="20" t="s">
        <v>73</v>
      </c>
      <c r="M22" s="21" t="s">
        <v>35</v>
      </c>
      <c r="N22" s="22"/>
      <c r="O22" s="22"/>
      <c r="P22" s="22"/>
      <c r="Q22" s="22"/>
    </row>
    <row r="23" customFormat="false" ht="34.5" hidden="false" customHeight="true" outlineLevel="0" collapsed="false">
      <c r="A23" s="20" t="s">
        <v>201</v>
      </c>
      <c r="B23" s="20" t="s">
        <v>39</v>
      </c>
      <c r="C23" s="20" t="s">
        <v>195</v>
      </c>
      <c r="D23" s="20" t="s">
        <v>202</v>
      </c>
      <c r="E23" s="20" t="s">
        <v>81</v>
      </c>
      <c r="F23" s="20" t="s">
        <v>67</v>
      </c>
      <c r="G23" s="20" t="s">
        <v>82</v>
      </c>
      <c r="H23" s="20" t="s">
        <v>203</v>
      </c>
      <c r="I23" s="20" t="s">
        <v>204</v>
      </c>
      <c r="J23" s="20" t="s">
        <v>205</v>
      </c>
      <c r="K23" s="20" t="s">
        <v>206</v>
      </c>
      <c r="L23" s="20" t="s">
        <v>86</v>
      </c>
      <c r="M23" s="21" t="s">
        <v>35</v>
      </c>
      <c r="N23" s="22"/>
      <c r="O23" s="22"/>
      <c r="P23" s="22"/>
      <c r="Q23" s="22"/>
    </row>
    <row r="24" customFormat="false" ht="23.25" hidden="false" customHeight="true" outlineLevel="0" collapsed="false">
      <c r="A24" s="20" t="s">
        <v>207</v>
      </c>
      <c r="B24" s="20" t="s">
        <v>39</v>
      </c>
      <c r="C24" s="20" t="s">
        <v>195</v>
      </c>
      <c r="D24" s="20" t="s">
        <v>208</v>
      </c>
      <c r="E24" s="20" t="s">
        <v>81</v>
      </c>
      <c r="F24" s="20" t="s">
        <v>89</v>
      </c>
      <c r="G24" s="20" t="s">
        <v>82</v>
      </c>
      <c r="H24" s="20" t="s">
        <v>209</v>
      </c>
      <c r="I24" s="20" t="s">
        <v>210</v>
      </c>
      <c r="J24" s="20" t="s">
        <v>97</v>
      </c>
      <c r="K24" s="20" t="s">
        <v>211</v>
      </c>
      <c r="L24" s="20" t="s">
        <v>86</v>
      </c>
      <c r="M24" s="21" t="s">
        <v>35</v>
      </c>
      <c r="N24" s="22"/>
      <c r="O24" s="22"/>
      <c r="P24" s="22"/>
      <c r="Q24" s="22"/>
    </row>
    <row r="25" customFormat="false" ht="34.5" hidden="false" customHeight="true" outlineLevel="0" collapsed="false">
      <c r="A25" s="20" t="s">
        <v>212</v>
      </c>
      <c r="B25" s="20" t="s">
        <v>39</v>
      </c>
      <c r="C25" s="20" t="s">
        <v>213</v>
      </c>
      <c r="D25" s="20" t="s">
        <v>214</v>
      </c>
      <c r="E25" s="20" t="s">
        <v>215</v>
      </c>
      <c r="F25" s="20" t="s">
        <v>89</v>
      </c>
      <c r="G25" s="20" t="s">
        <v>82</v>
      </c>
      <c r="H25" s="20" t="s">
        <v>216</v>
      </c>
      <c r="I25" s="20" t="s">
        <v>217</v>
      </c>
      <c r="J25" s="20" t="s">
        <v>218</v>
      </c>
      <c r="K25" s="20" t="s">
        <v>219</v>
      </c>
      <c r="L25" s="20" t="s">
        <v>73</v>
      </c>
      <c r="M25" s="21" t="s">
        <v>35</v>
      </c>
      <c r="N25" s="22"/>
      <c r="O25" s="22"/>
      <c r="P25" s="22"/>
      <c r="Q25" s="22"/>
    </row>
    <row r="26" customFormat="false" ht="34.5" hidden="false" customHeight="true" outlineLevel="0" collapsed="false">
      <c r="A26" s="20" t="s">
        <v>220</v>
      </c>
      <c r="B26" s="20" t="s">
        <v>39</v>
      </c>
      <c r="C26" s="20" t="s">
        <v>213</v>
      </c>
      <c r="D26" s="20" t="s">
        <v>221</v>
      </c>
      <c r="E26" s="20" t="s">
        <v>96</v>
      </c>
      <c r="F26" s="20" t="s">
        <v>89</v>
      </c>
      <c r="G26" s="20" t="s">
        <v>82</v>
      </c>
      <c r="H26" s="20" t="s">
        <v>216</v>
      </c>
      <c r="I26" s="20" t="s">
        <v>222</v>
      </c>
      <c r="J26" s="20" t="s">
        <v>223</v>
      </c>
      <c r="K26" s="20" t="s">
        <v>219</v>
      </c>
      <c r="L26" s="20" t="s">
        <v>73</v>
      </c>
      <c r="M26" s="21" t="s">
        <v>35</v>
      </c>
      <c r="N26" s="22"/>
      <c r="O26" s="22"/>
      <c r="P26" s="22"/>
      <c r="Q26" s="22"/>
    </row>
    <row r="27" customFormat="false" ht="34.5" hidden="false" customHeight="true" outlineLevel="0" collapsed="false">
      <c r="A27" s="20" t="s">
        <v>224</v>
      </c>
      <c r="B27" s="20" t="s">
        <v>39</v>
      </c>
      <c r="C27" s="20" t="s">
        <v>213</v>
      </c>
      <c r="D27" s="20" t="s">
        <v>225</v>
      </c>
      <c r="E27" s="20" t="s">
        <v>96</v>
      </c>
      <c r="F27" s="20" t="s">
        <v>89</v>
      </c>
      <c r="G27" s="20" t="s">
        <v>82</v>
      </c>
      <c r="H27" s="20" t="s">
        <v>216</v>
      </c>
      <c r="I27" s="20" t="s">
        <v>226</v>
      </c>
      <c r="J27" s="20" t="s">
        <v>227</v>
      </c>
      <c r="K27" s="20" t="s">
        <v>219</v>
      </c>
      <c r="L27" s="20" t="s">
        <v>73</v>
      </c>
      <c r="M27" s="21" t="s">
        <v>35</v>
      </c>
      <c r="N27" s="22"/>
      <c r="O27" s="22"/>
      <c r="P27" s="22"/>
      <c r="Q27" s="22"/>
    </row>
    <row r="28" customFormat="false" ht="34.5" hidden="false" customHeight="true" outlineLevel="0" collapsed="false">
      <c r="A28" s="20" t="s">
        <v>228</v>
      </c>
      <c r="B28" s="20" t="s">
        <v>39</v>
      </c>
      <c r="C28" s="20" t="s">
        <v>213</v>
      </c>
      <c r="D28" s="20" t="s">
        <v>229</v>
      </c>
      <c r="E28" s="20" t="s">
        <v>96</v>
      </c>
      <c r="F28" s="20" t="s">
        <v>89</v>
      </c>
      <c r="G28" s="20" t="s">
        <v>82</v>
      </c>
      <c r="H28" s="20" t="s">
        <v>216</v>
      </c>
      <c r="I28" s="20" t="s">
        <v>230</v>
      </c>
      <c r="J28" s="20" t="s">
        <v>231</v>
      </c>
      <c r="K28" s="20" t="s">
        <v>219</v>
      </c>
      <c r="L28" s="20" t="s">
        <v>73</v>
      </c>
      <c r="M28" s="21" t="s">
        <v>35</v>
      </c>
      <c r="N28" s="22"/>
      <c r="O28" s="22"/>
      <c r="P28" s="22"/>
      <c r="Q28" s="22"/>
    </row>
    <row r="29" customFormat="false" ht="34.5" hidden="false" customHeight="true" outlineLevel="0" collapsed="false">
      <c r="A29" s="20" t="s">
        <v>232</v>
      </c>
      <c r="B29" s="20" t="s">
        <v>39</v>
      </c>
      <c r="C29" s="20" t="s">
        <v>213</v>
      </c>
      <c r="D29" s="20" t="s">
        <v>233</v>
      </c>
      <c r="E29" s="20" t="s">
        <v>118</v>
      </c>
      <c r="F29" s="20" t="s">
        <v>76</v>
      </c>
      <c r="G29" s="20" t="s">
        <v>82</v>
      </c>
      <c r="H29" s="20" t="s">
        <v>216</v>
      </c>
      <c r="I29" s="20" t="s">
        <v>234</v>
      </c>
      <c r="J29" s="20" t="s">
        <v>235</v>
      </c>
      <c r="K29" s="20" t="s">
        <v>236</v>
      </c>
      <c r="L29" s="20" t="s">
        <v>73</v>
      </c>
      <c r="M29" s="21" t="s">
        <v>35</v>
      </c>
      <c r="N29" s="22"/>
      <c r="O29" s="22"/>
      <c r="P29" s="22"/>
      <c r="Q29" s="22"/>
    </row>
    <row r="30" customFormat="false" ht="45.75" hidden="false" customHeight="true" outlineLevel="0" collapsed="false">
      <c r="A30" s="20" t="s">
        <v>237</v>
      </c>
      <c r="B30" s="20" t="s">
        <v>39</v>
      </c>
      <c r="C30" s="20" t="s">
        <v>238</v>
      </c>
      <c r="D30" s="20" t="s">
        <v>239</v>
      </c>
      <c r="E30" s="20" t="s">
        <v>66</v>
      </c>
      <c r="F30" s="20" t="s">
        <v>67</v>
      </c>
      <c r="G30" s="20" t="s">
        <v>68</v>
      </c>
      <c r="H30" s="20" t="s">
        <v>240</v>
      </c>
      <c r="I30" s="20" t="s">
        <v>241</v>
      </c>
      <c r="J30" s="20" t="s">
        <v>242</v>
      </c>
      <c r="K30" s="20" t="s">
        <v>243</v>
      </c>
      <c r="L30" s="20" t="s">
        <v>129</v>
      </c>
      <c r="M30" s="21" t="s">
        <v>35</v>
      </c>
      <c r="N30" s="22"/>
      <c r="O30" s="22"/>
      <c r="P30" s="22"/>
      <c r="Q30" s="22"/>
    </row>
    <row r="31" customFormat="false" ht="34.5" hidden="false" customHeight="true" outlineLevel="0" collapsed="false">
      <c r="A31" s="20" t="s">
        <v>244</v>
      </c>
      <c r="B31" s="20" t="s">
        <v>39</v>
      </c>
      <c r="C31" s="20" t="s">
        <v>238</v>
      </c>
      <c r="D31" s="20" t="s">
        <v>245</v>
      </c>
      <c r="E31" s="20" t="s">
        <v>96</v>
      </c>
      <c r="F31" s="20" t="s">
        <v>89</v>
      </c>
      <c r="G31" s="20" t="s">
        <v>68</v>
      </c>
      <c r="H31" s="20" t="s">
        <v>246</v>
      </c>
      <c r="I31" s="20" t="s">
        <v>247</v>
      </c>
      <c r="J31" s="20" t="s">
        <v>187</v>
      </c>
      <c r="K31" s="20" t="s">
        <v>248</v>
      </c>
      <c r="L31" s="20" t="s">
        <v>73</v>
      </c>
      <c r="M31" s="21" t="s">
        <v>35</v>
      </c>
      <c r="N31" s="22"/>
      <c r="O31" s="22"/>
      <c r="P31" s="22"/>
      <c r="Q31" s="22"/>
    </row>
    <row r="32" customFormat="false" ht="45.75" hidden="false" customHeight="true" outlineLevel="0" collapsed="false">
      <c r="A32" s="20" t="s">
        <v>249</v>
      </c>
      <c r="B32" s="20" t="s">
        <v>39</v>
      </c>
      <c r="C32" s="20" t="s">
        <v>250</v>
      </c>
      <c r="D32" s="20" t="s">
        <v>251</v>
      </c>
      <c r="E32" s="20" t="s">
        <v>66</v>
      </c>
      <c r="F32" s="20" t="s">
        <v>89</v>
      </c>
      <c r="G32" s="20" t="s">
        <v>68</v>
      </c>
      <c r="H32" s="20" t="s">
        <v>169</v>
      </c>
      <c r="I32" s="20" t="s">
        <v>252</v>
      </c>
      <c r="J32" s="20" t="s">
        <v>253</v>
      </c>
      <c r="K32" s="20" t="s">
        <v>254</v>
      </c>
      <c r="L32" s="20" t="s">
        <v>73</v>
      </c>
      <c r="M32" s="21" t="s">
        <v>35</v>
      </c>
      <c r="N32" s="22"/>
      <c r="O32" s="22"/>
      <c r="P32" s="22"/>
      <c r="Q32" s="22"/>
    </row>
    <row r="33" customFormat="false" ht="34.5" hidden="false" customHeight="true" outlineLevel="0" collapsed="false">
      <c r="A33" s="20" t="s">
        <v>255</v>
      </c>
      <c r="B33" s="20" t="s">
        <v>39</v>
      </c>
      <c r="C33" s="20" t="s">
        <v>250</v>
      </c>
      <c r="D33" s="20" t="s">
        <v>256</v>
      </c>
      <c r="E33" s="20" t="s">
        <v>81</v>
      </c>
      <c r="F33" s="20" t="s">
        <v>89</v>
      </c>
      <c r="G33" s="20" t="s">
        <v>68</v>
      </c>
      <c r="H33" s="20" t="s">
        <v>169</v>
      </c>
      <c r="I33" s="20" t="s">
        <v>257</v>
      </c>
      <c r="J33" s="20" t="s">
        <v>258</v>
      </c>
      <c r="K33" s="20" t="s">
        <v>259</v>
      </c>
      <c r="L33" s="20" t="s">
        <v>86</v>
      </c>
      <c r="M33" s="21" t="s">
        <v>35</v>
      </c>
      <c r="N33" s="22"/>
      <c r="O33" s="22"/>
      <c r="P33" s="22"/>
      <c r="Q33" s="22"/>
    </row>
    <row r="34" customFormat="false" ht="34.5" hidden="false" customHeight="true" outlineLevel="0" collapsed="false">
      <c r="A34" s="20" t="s">
        <v>260</v>
      </c>
      <c r="B34" s="20" t="s">
        <v>39</v>
      </c>
      <c r="C34" s="20" t="s">
        <v>250</v>
      </c>
      <c r="D34" s="20" t="s">
        <v>261</v>
      </c>
      <c r="E34" s="20" t="s">
        <v>96</v>
      </c>
      <c r="F34" s="20" t="s">
        <v>76</v>
      </c>
      <c r="G34" s="20" t="s">
        <v>68</v>
      </c>
      <c r="H34" s="20" t="s">
        <v>169</v>
      </c>
      <c r="I34" s="20" t="s">
        <v>262</v>
      </c>
      <c r="J34" s="20" t="s">
        <v>263</v>
      </c>
      <c r="K34" s="20" t="s">
        <v>219</v>
      </c>
      <c r="L34" s="20" t="s">
        <v>73</v>
      </c>
      <c r="M34" s="21" t="s">
        <v>35</v>
      </c>
      <c r="N34" s="22"/>
      <c r="O34" s="22"/>
      <c r="P34" s="22"/>
      <c r="Q34" s="22"/>
    </row>
    <row r="35" customFormat="false" ht="23.25" hidden="false" customHeight="true" outlineLevel="0" collapsed="false">
      <c r="A35" s="20" t="s">
        <v>264</v>
      </c>
      <c r="B35" s="20" t="s">
        <v>39</v>
      </c>
      <c r="C35" s="20" t="s">
        <v>265</v>
      </c>
      <c r="D35" s="20" t="s">
        <v>266</v>
      </c>
      <c r="E35" s="20" t="s">
        <v>81</v>
      </c>
      <c r="F35" s="20" t="s">
        <v>76</v>
      </c>
      <c r="G35" s="20" t="s">
        <v>82</v>
      </c>
      <c r="H35" s="20" t="s">
        <v>267</v>
      </c>
      <c r="I35" s="20" t="s">
        <v>268</v>
      </c>
      <c r="J35" s="20" t="s">
        <v>97</v>
      </c>
      <c r="K35" s="20" t="s">
        <v>269</v>
      </c>
      <c r="L35" s="20" t="s">
        <v>270</v>
      </c>
      <c r="M35" s="21" t="s">
        <v>35</v>
      </c>
      <c r="N35" s="22"/>
      <c r="O35" s="22"/>
      <c r="P35" s="22"/>
      <c r="Q35" s="22"/>
    </row>
    <row r="36" customFormat="false" ht="45.75" hidden="false" customHeight="true" outlineLevel="0" collapsed="false">
      <c r="A36" s="20" t="s">
        <v>271</v>
      </c>
      <c r="B36" s="20" t="s">
        <v>39</v>
      </c>
      <c r="C36" s="20" t="s">
        <v>272</v>
      </c>
      <c r="D36" s="20" t="s">
        <v>273</v>
      </c>
      <c r="E36" s="20" t="s">
        <v>66</v>
      </c>
      <c r="F36" s="20" t="s">
        <v>89</v>
      </c>
      <c r="G36" s="20" t="s">
        <v>82</v>
      </c>
      <c r="H36" s="20" t="s">
        <v>274</v>
      </c>
      <c r="I36" s="20" t="s">
        <v>275</v>
      </c>
      <c r="J36" s="20" t="s">
        <v>276</v>
      </c>
      <c r="K36" s="20" t="s">
        <v>277</v>
      </c>
      <c r="L36" s="20" t="s">
        <v>73</v>
      </c>
      <c r="M36" s="21" t="s">
        <v>35</v>
      </c>
      <c r="N36" s="22"/>
      <c r="O36" s="22"/>
      <c r="P36" s="22"/>
      <c r="Q36" s="22"/>
    </row>
    <row r="37" customFormat="false" ht="23.25" hidden="false" customHeight="true" outlineLevel="0" collapsed="false">
      <c r="A37" s="20" t="s">
        <v>278</v>
      </c>
      <c r="B37" s="20" t="s">
        <v>39</v>
      </c>
      <c r="C37" s="20" t="s">
        <v>272</v>
      </c>
      <c r="D37" s="20" t="s">
        <v>279</v>
      </c>
      <c r="E37" s="20" t="s">
        <v>96</v>
      </c>
      <c r="F37" s="20" t="s">
        <v>76</v>
      </c>
      <c r="G37" s="20" t="s">
        <v>82</v>
      </c>
      <c r="H37" s="20" t="s">
        <v>97</v>
      </c>
      <c r="I37" s="20" t="s">
        <v>280</v>
      </c>
      <c r="J37" s="20" t="s">
        <v>281</v>
      </c>
      <c r="K37" s="20" t="s">
        <v>282</v>
      </c>
      <c r="L37" s="20" t="s">
        <v>73</v>
      </c>
      <c r="M37" s="21" t="s">
        <v>35</v>
      </c>
      <c r="N37" s="22"/>
      <c r="O37" s="22"/>
      <c r="P37" s="22"/>
      <c r="Q37" s="22"/>
    </row>
    <row r="38" customFormat="false" ht="23.25" hidden="false" customHeight="true" outlineLevel="0" collapsed="false">
      <c r="A38" s="20" t="s">
        <v>283</v>
      </c>
      <c r="B38" s="20" t="s">
        <v>39</v>
      </c>
      <c r="C38" s="20" t="s">
        <v>272</v>
      </c>
      <c r="D38" s="20" t="s">
        <v>284</v>
      </c>
      <c r="E38" s="20" t="s">
        <v>215</v>
      </c>
      <c r="F38" s="20" t="s">
        <v>119</v>
      </c>
      <c r="G38" s="20" t="s">
        <v>82</v>
      </c>
      <c r="H38" s="20" t="s">
        <v>97</v>
      </c>
      <c r="I38" s="20" t="s">
        <v>285</v>
      </c>
      <c r="J38" s="20" t="s">
        <v>286</v>
      </c>
      <c r="K38" s="20" t="s">
        <v>287</v>
      </c>
      <c r="L38" s="20" t="s">
        <v>73</v>
      </c>
      <c r="M38" s="21" t="s">
        <v>35</v>
      </c>
      <c r="N38" s="22"/>
      <c r="O38" s="22"/>
      <c r="P38" s="22"/>
      <c r="Q38" s="22"/>
    </row>
    <row r="39" customFormat="false" ht="23.25" hidden="false" customHeight="true" outlineLevel="0" collapsed="false">
      <c r="A39" s="20" t="s">
        <v>288</v>
      </c>
      <c r="B39" s="20" t="s">
        <v>39</v>
      </c>
      <c r="C39" s="20" t="s">
        <v>289</v>
      </c>
      <c r="D39" s="20" t="s">
        <v>290</v>
      </c>
      <c r="E39" s="20" t="s">
        <v>96</v>
      </c>
      <c r="F39" s="20" t="s">
        <v>89</v>
      </c>
      <c r="G39" s="20" t="s">
        <v>82</v>
      </c>
      <c r="H39" s="20" t="s">
        <v>291</v>
      </c>
      <c r="I39" s="20" t="s">
        <v>292</v>
      </c>
      <c r="J39" s="20" t="s">
        <v>97</v>
      </c>
      <c r="K39" s="20" t="s">
        <v>293</v>
      </c>
      <c r="L39" s="20" t="s">
        <v>73</v>
      </c>
      <c r="M39" s="21" t="s">
        <v>35</v>
      </c>
      <c r="N39" s="22"/>
      <c r="O39" s="22"/>
      <c r="P39" s="22"/>
      <c r="Q39" s="22"/>
    </row>
    <row r="40" customFormat="false" ht="45.75" hidden="false" customHeight="true" outlineLevel="0" collapsed="false">
      <c r="A40" s="20" t="s">
        <v>294</v>
      </c>
      <c r="B40" s="20" t="s">
        <v>39</v>
      </c>
      <c r="C40" s="20" t="s">
        <v>289</v>
      </c>
      <c r="D40" s="20" t="s">
        <v>295</v>
      </c>
      <c r="E40" s="20" t="s">
        <v>215</v>
      </c>
      <c r="F40" s="20" t="s">
        <v>119</v>
      </c>
      <c r="G40" s="20" t="s">
        <v>82</v>
      </c>
      <c r="H40" s="20" t="s">
        <v>97</v>
      </c>
      <c r="I40" s="20" t="s">
        <v>296</v>
      </c>
      <c r="J40" s="20" t="s">
        <v>297</v>
      </c>
      <c r="K40" s="20" t="s">
        <v>298</v>
      </c>
      <c r="L40" s="20" t="s">
        <v>73</v>
      </c>
      <c r="M40" s="21" t="s">
        <v>35</v>
      </c>
      <c r="N40" s="22"/>
      <c r="O40" s="22"/>
      <c r="P40" s="22"/>
      <c r="Q40" s="22"/>
    </row>
    <row r="41" customFormat="false" ht="23.25" hidden="false" customHeight="true" outlineLevel="0" collapsed="false">
      <c r="A41" s="20" t="s">
        <v>299</v>
      </c>
      <c r="B41" s="20" t="s">
        <v>39</v>
      </c>
      <c r="C41" s="20" t="s">
        <v>289</v>
      </c>
      <c r="D41" s="20" t="s">
        <v>300</v>
      </c>
      <c r="E41" s="20" t="s">
        <v>96</v>
      </c>
      <c r="F41" s="20" t="s">
        <v>76</v>
      </c>
      <c r="G41" s="20" t="s">
        <v>82</v>
      </c>
      <c r="H41" s="20" t="s">
        <v>97</v>
      </c>
      <c r="I41" s="20" t="s">
        <v>301</v>
      </c>
      <c r="J41" s="20" t="s">
        <v>302</v>
      </c>
      <c r="K41" s="20" t="s">
        <v>282</v>
      </c>
      <c r="L41" s="20" t="s">
        <v>73</v>
      </c>
      <c r="M41" s="21" t="s">
        <v>35</v>
      </c>
      <c r="N41" s="22"/>
      <c r="O41" s="22"/>
      <c r="P41" s="22"/>
      <c r="Q41" s="22"/>
    </row>
    <row r="42" customFormat="false" ht="45.75" hidden="false" customHeight="true" outlineLevel="0" collapsed="false">
      <c r="A42" s="20" t="s">
        <v>303</v>
      </c>
      <c r="B42" s="20" t="s">
        <v>40</v>
      </c>
      <c r="C42" s="20" t="s">
        <v>304</v>
      </c>
      <c r="D42" s="20" t="s">
        <v>305</v>
      </c>
      <c r="E42" s="20" t="s">
        <v>66</v>
      </c>
      <c r="F42" s="20" t="s">
        <v>67</v>
      </c>
      <c r="G42" s="20" t="s">
        <v>306</v>
      </c>
      <c r="H42" s="20" t="s">
        <v>307</v>
      </c>
      <c r="I42" s="20" t="s">
        <v>308</v>
      </c>
      <c r="J42" s="20" t="s">
        <v>309</v>
      </c>
      <c r="K42" s="20" t="s">
        <v>310</v>
      </c>
      <c r="L42" s="20" t="s">
        <v>311</v>
      </c>
      <c r="M42" s="21" t="s">
        <v>35</v>
      </c>
      <c r="N42" s="22"/>
      <c r="O42" s="22"/>
      <c r="P42" s="22"/>
      <c r="Q42" s="22"/>
    </row>
    <row r="43" customFormat="false" ht="23.25" hidden="false" customHeight="true" outlineLevel="0" collapsed="false">
      <c r="A43" s="20" t="s">
        <v>312</v>
      </c>
      <c r="B43" s="20" t="s">
        <v>40</v>
      </c>
      <c r="C43" s="20" t="s">
        <v>304</v>
      </c>
      <c r="D43" s="20" t="s">
        <v>313</v>
      </c>
      <c r="E43" s="20" t="s">
        <v>81</v>
      </c>
      <c r="F43" s="20" t="s">
        <v>67</v>
      </c>
      <c r="G43" s="20" t="s">
        <v>306</v>
      </c>
      <c r="H43" s="20" t="s">
        <v>314</v>
      </c>
      <c r="I43" s="20" t="s">
        <v>315</v>
      </c>
      <c r="J43" s="20" t="s">
        <v>316</v>
      </c>
      <c r="K43" s="20" t="s">
        <v>317</v>
      </c>
      <c r="L43" s="20" t="s">
        <v>311</v>
      </c>
      <c r="M43" s="21" t="s">
        <v>35</v>
      </c>
      <c r="N43" s="22"/>
      <c r="O43" s="22"/>
      <c r="P43" s="22"/>
      <c r="Q43" s="22"/>
    </row>
    <row r="44" customFormat="false" ht="45.75" hidden="false" customHeight="true" outlineLevel="0" collapsed="false">
      <c r="A44" s="20" t="s">
        <v>318</v>
      </c>
      <c r="B44" s="20" t="s">
        <v>40</v>
      </c>
      <c r="C44" s="20" t="s">
        <v>304</v>
      </c>
      <c r="D44" s="20" t="s">
        <v>319</v>
      </c>
      <c r="E44" s="20" t="s">
        <v>215</v>
      </c>
      <c r="F44" s="20" t="s">
        <v>76</v>
      </c>
      <c r="G44" s="20" t="s">
        <v>306</v>
      </c>
      <c r="H44" s="20" t="s">
        <v>97</v>
      </c>
      <c r="I44" s="20" t="s">
        <v>320</v>
      </c>
      <c r="J44" s="20" t="s">
        <v>321</v>
      </c>
      <c r="K44" s="20" t="s">
        <v>322</v>
      </c>
      <c r="L44" s="20" t="s">
        <v>73</v>
      </c>
      <c r="M44" s="21" t="s">
        <v>35</v>
      </c>
      <c r="N44" s="22"/>
      <c r="O44" s="22"/>
      <c r="P44" s="22"/>
      <c r="Q44" s="22"/>
    </row>
    <row r="45" customFormat="false" ht="23.25" hidden="false" customHeight="true" outlineLevel="0" collapsed="false">
      <c r="A45" s="20" t="s">
        <v>323</v>
      </c>
      <c r="B45" s="20" t="s">
        <v>40</v>
      </c>
      <c r="C45" s="20" t="s">
        <v>304</v>
      </c>
      <c r="D45" s="20" t="s">
        <v>324</v>
      </c>
      <c r="E45" s="20" t="s">
        <v>96</v>
      </c>
      <c r="F45" s="20" t="s">
        <v>89</v>
      </c>
      <c r="G45" s="20" t="s">
        <v>325</v>
      </c>
      <c r="H45" s="20" t="s">
        <v>97</v>
      </c>
      <c r="I45" s="20" t="s">
        <v>326</v>
      </c>
      <c r="J45" s="20" t="s">
        <v>327</v>
      </c>
      <c r="K45" s="20" t="s">
        <v>328</v>
      </c>
      <c r="L45" s="20" t="s">
        <v>73</v>
      </c>
      <c r="M45" s="21" t="s">
        <v>35</v>
      </c>
      <c r="N45" s="22"/>
      <c r="O45" s="22"/>
      <c r="P45" s="22"/>
      <c r="Q45" s="22"/>
    </row>
    <row r="46" customFormat="false" ht="23.25" hidden="false" customHeight="true" outlineLevel="0" collapsed="false">
      <c r="A46" s="20" t="s">
        <v>329</v>
      </c>
      <c r="B46" s="20" t="s">
        <v>40</v>
      </c>
      <c r="C46" s="20" t="s">
        <v>304</v>
      </c>
      <c r="D46" s="20" t="s">
        <v>330</v>
      </c>
      <c r="E46" s="20" t="s">
        <v>96</v>
      </c>
      <c r="F46" s="20" t="s">
        <v>76</v>
      </c>
      <c r="G46" s="20" t="s">
        <v>325</v>
      </c>
      <c r="H46" s="20" t="s">
        <v>97</v>
      </c>
      <c r="I46" s="20" t="s">
        <v>331</v>
      </c>
      <c r="J46" s="20" t="s">
        <v>332</v>
      </c>
      <c r="K46" s="20" t="s">
        <v>333</v>
      </c>
      <c r="L46" s="20" t="s">
        <v>73</v>
      </c>
      <c r="M46" s="21" t="s">
        <v>35</v>
      </c>
      <c r="N46" s="22"/>
      <c r="O46" s="22"/>
      <c r="P46" s="22"/>
      <c r="Q46" s="22"/>
    </row>
    <row r="47" customFormat="false" ht="34.5" hidden="false" customHeight="true" outlineLevel="0" collapsed="false">
      <c r="A47" s="20" t="s">
        <v>334</v>
      </c>
      <c r="B47" s="20" t="s">
        <v>40</v>
      </c>
      <c r="C47" s="20" t="s">
        <v>304</v>
      </c>
      <c r="D47" s="20" t="s">
        <v>335</v>
      </c>
      <c r="E47" s="20" t="s">
        <v>161</v>
      </c>
      <c r="F47" s="20" t="s">
        <v>89</v>
      </c>
      <c r="G47" s="20" t="s">
        <v>306</v>
      </c>
      <c r="H47" s="20" t="s">
        <v>336</v>
      </c>
      <c r="I47" s="20" t="s">
        <v>337</v>
      </c>
      <c r="J47" s="20" t="s">
        <v>338</v>
      </c>
      <c r="K47" s="20" t="s">
        <v>339</v>
      </c>
      <c r="L47" s="20" t="s">
        <v>340</v>
      </c>
      <c r="M47" s="21" t="s">
        <v>35</v>
      </c>
      <c r="N47" s="22"/>
      <c r="O47" s="22"/>
      <c r="P47" s="22"/>
      <c r="Q47" s="22"/>
    </row>
    <row r="48" customFormat="false" ht="15" hidden="false" customHeight="true" outlineLevel="0" collapsed="false">
      <c r="A48" s="20" t="s">
        <v>341</v>
      </c>
      <c r="B48" s="20" t="s">
        <v>40</v>
      </c>
      <c r="C48" s="20" t="s">
        <v>304</v>
      </c>
      <c r="D48" s="20" t="s">
        <v>342</v>
      </c>
      <c r="E48" s="20" t="s">
        <v>161</v>
      </c>
      <c r="F48" s="20" t="s">
        <v>67</v>
      </c>
      <c r="G48" s="20" t="s">
        <v>68</v>
      </c>
      <c r="H48" s="20" t="s">
        <v>343</v>
      </c>
      <c r="I48" s="20" t="s">
        <v>344</v>
      </c>
      <c r="J48" s="20" t="s">
        <v>97</v>
      </c>
      <c r="K48" s="20" t="s">
        <v>345</v>
      </c>
      <c r="L48" s="20" t="s">
        <v>346</v>
      </c>
      <c r="M48" s="21" t="s">
        <v>35</v>
      </c>
      <c r="N48" s="22"/>
      <c r="O48" s="22"/>
      <c r="P48" s="22"/>
      <c r="Q48" s="22"/>
    </row>
    <row r="49" customFormat="false" ht="34.5" hidden="false" customHeight="true" outlineLevel="0" collapsed="false">
      <c r="A49" s="20" t="s">
        <v>347</v>
      </c>
      <c r="B49" s="20" t="s">
        <v>40</v>
      </c>
      <c r="C49" s="20" t="s">
        <v>348</v>
      </c>
      <c r="D49" s="20" t="s">
        <v>349</v>
      </c>
      <c r="E49" s="20" t="s">
        <v>66</v>
      </c>
      <c r="F49" s="20" t="s">
        <v>76</v>
      </c>
      <c r="G49" s="20" t="s">
        <v>350</v>
      </c>
      <c r="H49" s="20" t="s">
        <v>97</v>
      </c>
      <c r="I49" s="20" t="s">
        <v>351</v>
      </c>
      <c r="J49" s="20" t="s">
        <v>352</v>
      </c>
      <c r="K49" s="20" t="s">
        <v>353</v>
      </c>
      <c r="L49" s="20" t="s">
        <v>354</v>
      </c>
      <c r="M49" s="21" t="s">
        <v>32</v>
      </c>
      <c r="N49" s="22" t="s">
        <v>130</v>
      </c>
      <c r="O49" s="22" t="s">
        <v>131</v>
      </c>
      <c r="P49" s="22" t="s">
        <v>132</v>
      </c>
      <c r="Q49" s="22"/>
    </row>
    <row r="50" customFormat="false" ht="45.75" hidden="false" customHeight="true" outlineLevel="0" collapsed="false">
      <c r="A50" s="20" t="s">
        <v>355</v>
      </c>
      <c r="B50" s="20" t="s">
        <v>40</v>
      </c>
      <c r="C50" s="20" t="s">
        <v>348</v>
      </c>
      <c r="D50" s="20" t="s">
        <v>356</v>
      </c>
      <c r="E50" s="20" t="s">
        <v>215</v>
      </c>
      <c r="F50" s="20" t="s">
        <v>76</v>
      </c>
      <c r="G50" s="20" t="s">
        <v>350</v>
      </c>
      <c r="H50" s="20" t="s">
        <v>97</v>
      </c>
      <c r="I50" s="20" t="s">
        <v>357</v>
      </c>
      <c r="J50" s="20" t="s">
        <v>358</v>
      </c>
      <c r="K50" s="20" t="s">
        <v>359</v>
      </c>
      <c r="L50" s="20" t="s">
        <v>354</v>
      </c>
      <c r="M50" s="21" t="s">
        <v>32</v>
      </c>
      <c r="N50" s="22" t="s">
        <v>130</v>
      </c>
      <c r="O50" s="22" t="s">
        <v>131</v>
      </c>
      <c r="P50" s="22" t="s">
        <v>132</v>
      </c>
      <c r="Q50" s="22"/>
    </row>
    <row r="51" customFormat="false" ht="45.75" hidden="false" customHeight="true" outlineLevel="0" collapsed="false">
      <c r="A51" s="20" t="s">
        <v>360</v>
      </c>
      <c r="B51" s="20" t="s">
        <v>40</v>
      </c>
      <c r="C51" s="20" t="s">
        <v>348</v>
      </c>
      <c r="D51" s="20" t="s">
        <v>361</v>
      </c>
      <c r="E51" s="20" t="s">
        <v>96</v>
      </c>
      <c r="F51" s="20" t="s">
        <v>76</v>
      </c>
      <c r="G51" s="20" t="s">
        <v>350</v>
      </c>
      <c r="H51" s="20" t="s">
        <v>97</v>
      </c>
      <c r="I51" s="20" t="s">
        <v>362</v>
      </c>
      <c r="J51" s="20" t="s">
        <v>363</v>
      </c>
      <c r="K51" s="20" t="s">
        <v>364</v>
      </c>
      <c r="L51" s="20" t="s">
        <v>354</v>
      </c>
      <c r="M51" s="21" t="s">
        <v>32</v>
      </c>
      <c r="N51" s="22" t="s">
        <v>130</v>
      </c>
      <c r="O51" s="22" t="s">
        <v>131</v>
      </c>
      <c r="P51" s="22" t="s">
        <v>132</v>
      </c>
      <c r="Q51" s="22"/>
    </row>
    <row r="52" customFormat="false" ht="34.5" hidden="false" customHeight="true" outlineLevel="0" collapsed="false">
      <c r="A52" s="20" t="s">
        <v>365</v>
      </c>
      <c r="B52" s="20" t="s">
        <v>40</v>
      </c>
      <c r="C52" s="20" t="s">
        <v>348</v>
      </c>
      <c r="D52" s="20" t="s">
        <v>366</v>
      </c>
      <c r="E52" s="20" t="s">
        <v>215</v>
      </c>
      <c r="F52" s="20" t="s">
        <v>76</v>
      </c>
      <c r="G52" s="20" t="s">
        <v>306</v>
      </c>
      <c r="H52" s="20" t="s">
        <v>97</v>
      </c>
      <c r="I52" s="20" t="s">
        <v>367</v>
      </c>
      <c r="J52" s="20" t="s">
        <v>368</v>
      </c>
      <c r="K52" s="20" t="s">
        <v>369</v>
      </c>
      <c r="L52" s="20" t="s">
        <v>354</v>
      </c>
      <c r="M52" s="21" t="s">
        <v>32</v>
      </c>
      <c r="N52" s="22" t="s">
        <v>130</v>
      </c>
      <c r="O52" s="22" t="s">
        <v>131</v>
      </c>
      <c r="P52" s="22" t="s">
        <v>132</v>
      </c>
      <c r="Q52" s="22"/>
    </row>
    <row r="53" customFormat="false" ht="34.5" hidden="false" customHeight="true" outlineLevel="0" collapsed="false">
      <c r="A53" s="20" t="s">
        <v>370</v>
      </c>
      <c r="B53" s="20" t="s">
        <v>40</v>
      </c>
      <c r="C53" s="20" t="s">
        <v>348</v>
      </c>
      <c r="D53" s="20" t="s">
        <v>371</v>
      </c>
      <c r="E53" s="20" t="s">
        <v>66</v>
      </c>
      <c r="F53" s="20" t="s">
        <v>89</v>
      </c>
      <c r="G53" s="20" t="s">
        <v>306</v>
      </c>
      <c r="H53" s="20" t="s">
        <v>372</v>
      </c>
      <c r="I53" s="20" t="s">
        <v>373</v>
      </c>
      <c r="J53" s="20" t="s">
        <v>374</v>
      </c>
      <c r="K53" s="20" t="s">
        <v>375</v>
      </c>
      <c r="L53" s="20" t="s">
        <v>354</v>
      </c>
      <c r="M53" s="21" t="s">
        <v>32</v>
      </c>
      <c r="N53" s="22" t="s">
        <v>376</v>
      </c>
      <c r="O53" s="22" t="s">
        <v>131</v>
      </c>
      <c r="P53" s="22" t="s">
        <v>132</v>
      </c>
      <c r="Q53" s="22"/>
    </row>
    <row r="54" customFormat="false" ht="34.5" hidden="false" customHeight="true" outlineLevel="0" collapsed="false">
      <c r="A54" s="20" t="s">
        <v>377</v>
      </c>
      <c r="B54" s="20" t="s">
        <v>40</v>
      </c>
      <c r="C54" s="20" t="s">
        <v>348</v>
      </c>
      <c r="D54" s="20" t="s">
        <v>378</v>
      </c>
      <c r="E54" s="20" t="s">
        <v>118</v>
      </c>
      <c r="F54" s="20" t="s">
        <v>76</v>
      </c>
      <c r="G54" s="20" t="s">
        <v>306</v>
      </c>
      <c r="H54" s="20" t="s">
        <v>372</v>
      </c>
      <c r="I54" s="20" t="s">
        <v>379</v>
      </c>
      <c r="J54" s="20" t="s">
        <v>380</v>
      </c>
      <c r="K54" s="20" t="s">
        <v>381</v>
      </c>
      <c r="L54" s="20" t="s">
        <v>354</v>
      </c>
      <c r="M54" s="21" t="s">
        <v>32</v>
      </c>
      <c r="N54" s="22" t="s">
        <v>376</v>
      </c>
      <c r="O54" s="22" t="s">
        <v>131</v>
      </c>
      <c r="P54" s="22" t="s">
        <v>132</v>
      </c>
      <c r="Q54" s="22"/>
    </row>
    <row r="55" customFormat="false" ht="34.5" hidden="false" customHeight="true" outlineLevel="0" collapsed="false">
      <c r="A55" s="20" t="s">
        <v>382</v>
      </c>
      <c r="B55" s="20" t="s">
        <v>40</v>
      </c>
      <c r="C55" s="20" t="s">
        <v>348</v>
      </c>
      <c r="D55" s="20" t="s">
        <v>383</v>
      </c>
      <c r="E55" s="20" t="s">
        <v>118</v>
      </c>
      <c r="F55" s="20" t="s">
        <v>119</v>
      </c>
      <c r="G55" s="20" t="s">
        <v>306</v>
      </c>
      <c r="H55" s="20" t="s">
        <v>372</v>
      </c>
      <c r="I55" s="20" t="s">
        <v>384</v>
      </c>
      <c r="J55" s="20" t="s">
        <v>385</v>
      </c>
      <c r="K55" s="20" t="s">
        <v>386</v>
      </c>
      <c r="L55" s="20" t="s">
        <v>354</v>
      </c>
      <c r="M55" s="21" t="s">
        <v>32</v>
      </c>
      <c r="N55" s="22" t="s">
        <v>387</v>
      </c>
      <c r="O55" s="22" t="s">
        <v>131</v>
      </c>
      <c r="P55" s="22" t="s">
        <v>132</v>
      </c>
      <c r="Q55" s="22"/>
    </row>
    <row r="56" customFormat="false" ht="34.5" hidden="false" customHeight="true" outlineLevel="0" collapsed="false">
      <c r="A56" s="20" t="s">
        <v>388</v>
      </c>
      <c r="B56" s="20" t="s">
        <v>40</v>
      </c>
      <c r="C56" s="20" t="s">
        <v>348</v>
      </c>
      <c r="D56" s="20" t="s">
        <v>389</v>
      </c>
      <c r="E56" s="20" t="s">
        <v>81</v>
      </c>
      <c r="F56" s="20" t="s">
        <v>89</v>
      </c>
      <c r="G56" s="20" t="s">
        <v>306</v>
      </c>
      <c r="H56" s="20" t="s">
        <v>390</v>
      </c>
      <c r="I56" s="20" t="s">
        <v>391</v>
      </c>
      <c r="J56" s="20" t="s">
        <v>374</v>
      </c>
      <c r="K56" s="20" t="s">
        <v>392</v>
      </c>
      <c r="L56" s="20" t="s">
        <v>393</v>
      </c>
      <c r="M56" s="21" t="s">
        <v>35</v>
      </c>
      <c r="N56" s="22"/>
      <c r="O56" s="22"/>
      <c r="P56" s="22"/>
      <c r="Q56" s="22"/>
    </row>
    <row r="57" customFormat="false" ht="23.25" hidden="false" customHeight="true" outlineLevel="0" collapsed="false">
      <c r="A57" s="20" t="s">
        <v>394</v>
      </c>
      <c r="B57" s="20" t="s">
        <v>40</v>
      </c>
      <c r="C57" s="20" t="s">
        <v>395</v>
      </c>
      <c r="D57" s="20" t="s">
        <v>396</v>
      </c>
      <c r="E57" s="20" t="s">
        <v>66</v>
      </c>
      <c r="F57" s="20" t="s">
        <v>76</v>
      </c>
      <c r="G57" s="20" t="s">
        <v>306</v>
      </c>
      <c r="H57" s="20" t="s">
        <v>97</v>
      </c>
      <c r="I57" s="20" t="s">
        <v>397</v>
      </c>
      <c r="J57" s="20" t="s">
        <v>97</v>
      </c>
      <c r="K57" s="20" t="s">
        <v>398</v>
      </c>
      <c r="L57" s="20" t="s">
        <v>399</v>
      </c>
      <c r="M57" s="21" t="s">
        <v>35</v>
      </c>
      <c r="N57" s="22"/>
      <c r="O57" s="22"/>
      <c r="P57" s="22"/>
      <c r="Q57" s="22"/>
    </row>
    <row r="58" customFormat="false" ht="34.5" hidden="false" customHeight="true" outlineLevel="0" collapsed="false">
      <c r="A58" s="20" t="s">
        <v>400</v>
      </c>
      <c r="B58" s="20" t="s">
        <v>40</v>
      </c>
      <c r="C58" s="20" t="s">
        <v>395</v>
      </c>
      <c r="D58" s="20" t="s">
        <v>401</v>
      </c>
      <c r="E58" s="20" t="s">
        <v>66</v>
      </c>
      <c r="F58" s="20" t="s">
        <v>89</v>
      </c>
      <c r="G58" s="20" t="s">
        <v>306</v>
      </c>
      <c r="H58" s="20" t="s">
        <v>402</v>
      </c>
      <c r="I58" s="20" t="s">
        <v>403</v>
      </c>
      <c r="J58" s="20" t="s">
        <v>404</v>
      </c>
      <c r="K58" s="20" t="s">
        <v>405</v>
      </c>
      <c r="L58" s="20" t="s">
        <v>406</v>
      </c>
      <c r="M58" s="21" t="s">
        <v>35</v>
      </c>
      <c r="N58" s="22"/>
      <c r="O58" s="22"/>
      <c r="P58" s="22"/>
      <c r="Q58" s="22"/>
    </row>
    <row r="59" customFormat="false" ht="23.25" hidden="false" customHeight="true" outlineLevel="0" collapsed="false">
      <c r="A59" s="20" t="s">
        <v>407</v>
      </c>
      <c r="B59" s="20" t="s">
        <v>40</v>
      </c>
      <c r="C59" s="20" t="s">
        <v>395</v>
      </c>
      <c r="D59" s="20" t="s">
        <v>408</v>
      </c>
      <c r="E59" s="20" t="s">
        <v>81</v>
      </c>
      <c r="F59" s="20" t="s">
        <v>89</v>
      </c>
      <c r="G59" s="20" t="s">
        <v>306</v>
      </c>
      <c r="H59" s="20" t="s">
        <v>409</v>
      </c>
      <c r="I59" s="20" t="s">
        <v>410</v>
      </c>
      <c r="J59" s="20" t="s">
        <v>411</v>
      </c>
      <c r="K59" s="20" t="s">
        <v>412</v>
      </c>
      <c r="L59" s="20" t="s">
        <v>413</v>
      </c>
      <c r="M59" s="21" t="s">
        <v>35</v>
      </c>
      <c r="N59" s="22"/>
      <c r="O59" s="22"/>
      <c r="P59" s="22"/>
      <c r="Q59" s="22"/>
    </row>
    <row r="60" customFormat="false" ht="15" hidden="false" customHeight="true" outlineLevel="0" collapsed="false">
      <c r="A60" s="20" t="s">
        <v>414</v>
      </c>
      <c r="B60" s="20" t="s">
        <v>40</v>
      </c>
      <c r="C60" s="20" t="s">
        <v>395</v>
      </c>
      <c r="D60" s="20" t="s">
        <v>415</v>
      </c>
      <c r="E60" s="20" t="s">
        <v>81</v>
      </c>
      <c r="F60" s="20" t="s">
        <v>76</v>
      </c>
      <c r="G60" s="20" t="s">
        <v>306</v>
      </c>
      <c r="H60" s="20" t="s">
        <v>97</v>
      </c>
      <c r="I60" s="20" t="s">
        <v>416</v>
      </c>
      <c r="J60" s="20" t="s">
        <v>417</v>
      </c>
      <c r="K60" s="20" t="s">
        <v>418</v>
      </c>
      <c r="L60" s="20" t="s">
        <v>346</v>
      </c>
      <c r="M60" s="21" t="s">
        <v>35</v>
      </c>
      <c r="N60" s="22"/>
      <c r="O60" s="22"/>
      <c r="P60" s="22"/>
      <c r="Q60" s="22"/>
    </row>
    <row r="61" customFormat="false" ht="34.5" hidden="false" customHeight="true" outlineLevel="0" collapsed="false">
      <c r="A61" s="20" t="s">
        <v>419</v>
      </c>
      <c r="B61" s="20" t="s">
        <v>40</v>
      </c>
      <c r="C61" s="20" t="s">
        <v>16</v>
      </c>
      <c r="D61" s="20" t="s">
        <v>420</v>
      </c>
      <c r="E61" s="20" t="s">
        <v>66</v>
      </c>
      <c r="F61" s="20" t="s">
        <v>67</v>
      </c>
      <c r="G61" s="20" t="s">
        <v>306</v>
      </c>
      <c r="H61" s="20" t="s">
        <v>421</v>
      </c>
      <c r="I61" s="20" t="s">
        <v>422</v>
      </c>
      <c r="J61" s="20" t="s">
        <v>97</v>
      </c>
      <c r="K61" s="20" t="s">
        <v>423</v>
      </c>
      <c r="L61" s="20" t="s">
        <v>424</v>
      </c>
      <c r="M61" s="21" t="s">
        <v>35</v>
      </c>
      <c r="N61" s="22"/>
      <c r="O61" s="22"/>
      <c r="P61" s="22"/>
      <c r="Q61" s="22"/>
    </row>
    <row r="62" customFormat="false" ht="15" hidden="false" customHeight="true" outlineLevel="0" collapsed="false">
      <c r="A62" s="20" t="s">
        <v>425</v>
      </c>
      <c r="B62" s="20" t="s">
        <v>40</v>
      </c>
      <c r="C62" s="20" t="s">
        <v>16</v>
      </c>
      <c r="D62" s="20" t="s">
        <v>426</v>
      </c>
      <c r="E62" s="20" t="s">
        <v>66</v>
      </c>
      <c r="F62" s="20" t="s">
        <v>89</v>
      </c>
      <c r="G62" s="20" t="s">
        <v>306</v>
      </c>
      <c r="H62" s="20" t="s">
        <v>427</v>
      </c>
      <c r="I62" s="20" t="s">
        <v>428</v>
      </c>
      <c r="J62" s="20" t="s">
        <v>97</v>
      </c>
      <c r="K62" s="20" t="s">
        <v>429</v>
      </c>
      <c r="L62" s="20" t="s">
        <v>424</v>
      </c>
      <c r="M62" s="21" t="s">
        <v>35</v>
      </c>
      <c r="N62" s="22"/>
      <c r="O62" s="22"/>
      <c r="P62" s="22"/>
      <c r="Q62" s="22"/>
    </row>
    <row r="63" customFormat="false" ht="34.5" hidden="false" customHeight="true" outlineLevel="0" collapsed="false">
      <c r="A63" s="20" t="s">
        <v>430</v>
      </c>
      <c r="B63" s="20" t="s">
        <v>40</v>
      </c>
      <c r="C63" s="20" t="s">
        <v>16</v>
      </c>
      <c r="D63" s="20" t="s">
        <v>431</v>
      </c>
      <c r="E63" s="20" t="s">
        <v>161</v>
      </c>
      <c r="F63" s="20" t="s">
        <v>67</v>
      </c>
      <c r="G63" s="20" t="s">
        <v>350</v>
      </c>
      <c r="H63" s="20" t="s">
        <v>432</v>
      </c>
      <c r="I63" s="20" t="s">
        <v>433</v>
      </c>
      <c r="J63" s="20" t="s">
        <v>434</v>
      </c>
      <c r="K63" s="20" t="s">
        <v>435</v>
      </c>
      <c r="L63" s="20" t="s">
        <v>151</v>
      </c>
      <c r="M63" s="21" t="s">
        <v>35</v>
      </c>
      <c r="N63" s="22"/>
      <c r="O63" s="22"/>
      <c r="P63" s="22"/>
      <c r="Q63" s="22"/>
    </row>
    <row r="64" customFormat="false" ht="34.5" hidden="false" customHeight="true" outlineLevel="0" collapsed="false">
      <c r="A64" s="20" t="s">
        <v>436</v>
      </c>
      <c r="B64" s="20" t="s">
        <v>40</v>
      </c>
      <c r="C64" s="20" t="s">
        <v>16</v>
      </c>
      <c r="D64" s="20" t="s">
        <v>437</v>
      </c>
      <c r="E64" s="20" t="s">
        <v>81</v>
      </c>
      <c r="F64" s="20" t="s">
        <v>89</v>
      </c>
      <c r="G64" s="20" t="s">
        <v>350</v>
      </c>
      <c r="H64" s="20" t="s">
        <v>438</v>
      </c>
      <c r="I64" s="20" t="s">
        <v>439</v>
      </c>
      <c r="J64" s="20" t="s">
        <v>97</v>
      </c>
      <c r="K64" s="20" t="s">
        <v>440</v>
      </c>
      <c r="L64" s="20" t="s">
        <v>151</v>
      </c>
      <c r="M64" s="21" t="s">
        <v>35</v>
      </c>
      <c r="N64" s="22"/>
      <c r="O64" s="22"/>
      <c r="P64" s="22"/>
      <c r="Q64" s="22"/>
    </row>
    <row r="65" customFormat="false" ht="34.5" hidden="false" customHeight="true" outlineLevel="0" collapsed="false">
      <c r="A65" s="20" t="s">
        <v>441</v>
      </c>
      <c r="B65" s="20" t="s">
        <v>40</v>
      </c>
      <c r="C65" s="20" t="s">
        <v>442</v>
      </c>
      <c r="D65" s="20" t="s">
        <v>443</v>
      </c>
      <c r="E65" s="20" t="s">
        <v>66</v>
      </c>
      <c r="F65" s="20" t="s">
        <v>89</v>
      </c>
      <c r="G65" s="20" t="s">
        <v>306</v>
      </c>
      <c r="H65" s="20" t="s">
        <v>444</v>
      </c>
      <c r="I65" s="20" t="s">
        <v>445</v>
      </c>
      <c r="J65" s="20" t="s">
        <v>446</v>
      </c>
      <c r="K65" s="20" t="s">
        <v>447</v>
      </c>
      <c r="L65" s="20" t="s">
        <v>448</v>
      </c>
      <c r="M65" s="21" t="s">
        <v>35</v>
      </c>
      <c r="N65" s="22"/>
      <c r="O65" s="22"/>
      <c r="P65" s="22"/>
      <c r="Q65" s="22"/>
    </row>
    <row r="66" customFormat="false" ht="15" hidden="false" customHeight="true" outlineLevel="0" collapsed="false">
      <c r="A66" s="20" t="s">
        <v>449</v>
      </c>
      <c r="B66" s="20" t="s">
        <v>40</v>
      </c>
      <c r="C66" s="20" t="s">
        <v>442</v>
      </c>
      <c r="D66" s="20" t="s">
        <v>450</v>
      </c>
      <c r="E66" s="20" t="s">
        <v>81</v>
      </c>
      <c r="F66" s="20" t="s">
        <v>76</v>
      </c>
      <c r="G66" s="20" t="s">
        <v>306</v>
      </c>
      <c r="H66" s="20" t="s">
        <v>97</v>
      </c>
      <c r="I66" s="20" t="s">
        <v>451</v>
      </c>
      <c r="J66" s="20" t="s">
        <v>452</v>
      </c>
      <c r="K66" s="20" t="s">
        <v>453</v>
      </c>
      <c r="L66" s="20" t="s">
        <v>448</v>
      </c>
      <c r="M66" s="21" t="s">
        <v>35</v>
      </c>
      <c r="N66" s="22"/>
      <c r="O66" s="22"/>
      <c r="P66" s="22"/>
      <c r="Q66" s="22"/>
    </row>
    <row r="67" customFormat="false" ht="34.5" hidden="false" customHeight="true" outlineLevel="0" collapsed="false">
      <c r="A67" s="20" t="s">
        <v>454</v>
      </c>
      <c r="B67" s="20" t="s">
        <v>40</v>
      </c>
      <c r="C67" s="20" t="s">
        <v>455</v>
      </c>
      <c r="D67" s="20" t="s">
        <v>456</v>
      </c>
      <c r="E67" s="20" t="s">
        <v>66</v>
      </c>
      <c r="F67" s="20" t="s">
        <v>89</v>
      </c>
      <c r="G67" s="20" t="s">
        <v>350</v>
      </c>
      <c r="H67" s="20" t="s">
        <v>457</v>
      </c>
      <c r="I67" s="20" t="s">
        <v>458</v>
      </c>
      <c r="J67" s="20" t="s">
        <v>459</v>
      </c>
      <c r="K67" s="20" t="s">
        <v>460</v>
      </c>
      <c r="L67" s="20" t="s">
        <v>461</v>
      </c>
      <c r="M67" s="21" t="s">
        <v>32</v>
      </c>
      <c r="N67" s="22" t="s">
        <v>462</v>
      </c>
      <c r="O67" s="22" t="s">
        <v>131</v>
      </c>
      <c r="P67" s="22" t="s">
        <v>132</v>
      </c>
      <c r="Q67" s="22"/>
    </row>
    <row r="68" customFormat="false" ht="23.25" hidden="false" customHeight="true" outlineLevel="0" collapsed="false">
      <c r="A68" s="20" t="s">
        <v>463</v>
      </c>
      <c r="B68" s="20" t="s">
        <v>40</v>
      </c>
      <c r="C68" s="20" t="s">
        <v>464</v>
      </c>
      <c r="D68" s="20" t="s">
        <v>465</v>
      </c>
      <c r="E68" s="20" t="s">
        <v>66</v>
      </c>
      <c r="F68" s="20" t="s">
        <v>76</v>
      </c>
      <c r="G68" s="20" t="s">
        <v>306</v>
      </c>
      <c r="H68" s="20" t="s">
        <v>466</v>
      </c>
      <c r="I68" s="20" t="s">
        <v>467</v>
      </c>
      <c r="J68" s="20" t="s">
        <v>468</v>
      </c>
      <c r="K68" s="20" t="s">
        <v>469</v>
      </c>
      <c r="L68" s="20" t="s">
        <v>346</v>
      </c>
      <c r="M68" s="21" t="s">
        <v>35</v>
      </c>
      <c r="N68" s="22"/>
      <c r="O68" s="22"/>
      <c r="P68" s="22"/>
      <c r="Q68" s="22"/>
    </row>
    <row r="69" customFormat="false" ht="34.5" hidden="false" customHeight="true" outlineLevel="0" collapsed="false">
      <c r="A69" s="20" t="s">
        <v>470</v>
      </c>
      <c r="B69" s="20" t="s">
        <v>40</v>
      </c>
      <c r="C69" s="20" t="s">
        <v>304</v>
      </c>
      <c r="D69" s="20" t="s">
        <v>471</v>
      </c>
      <c r="E69" s="20" t="s">
        <v>81</v>
      </c>
      <c r="F69" s="20" t="s">
        <v>89</v>
      </c>
      <c r="G69" s="20" t="s">
        <v>306</v>
      </c>
      <c r="H69" s="20" t="s">
        <v>472</v>
      </c>
      <c r="I69" s="20" t="s">
        <v>473</v>
      </c>
      <c r="J69" s="20" t="s">
        <v>474</v>
      </c>
      <c r="K69" s="20" t="s">
        <v>475</v>
      </c>
      <c r="L69" s="20" t="s">
        <v>393</v>
      </c>
      <c r="M69" s="21" t="s">
        <v>35</v>
      </c>
      <c r="N69" s="22"/>
      <c r="O69" s="22"/>
      <c r="P69" s="22"/>
      <c r="Q69" s="22"/>
    </row>
    <row r="70" customFormat="false" ht="34.5" hidden="false" customHeight="true" outlineLevel="0" collapsed="false">
      <c r="A70" s="20" t="s">
        <v>476</v>
      </c>
      <c r="B70" s="20" t="s">
        <v>40</v>
      </c>
      <c r="C70" s="20" t="s">
        <v>395</v>
      </c>
      <c r="D70" s="20" t="s">
        <v>477</v>
      </c>
      <c r="E70" s="20" t="s">
        <v>81</v>
      </c>
      <c r="F70" s="20" t="s">
        <v>89</v>
      </c>
      <c r="G70" s="20" t="s">
        <v>306</v>
      </c>
      <c r="H70" s="20" t="s">
        <v>478</v>
      </c>
      <c r="I70" s="20" t="s">
        <v>479</v>
      </c>
      <c r="J70" s="20" t="s">
        <v>480</v>
      </c>
      <c r="K70" s="20" t="s">
        <v>481</v>
      </c>
      <c r="L70" s="20" t="s">
        <v>393</v>
      </c>
      <c r="M70" s="21" t="s">
        <v>35</v>
      </c>
      <c r="N70" s="22"/>
      <c r="O70" s="22"/>
      <c r="P70" s="22"/>
      <c r="Q70" s="22"/>
    </row>
    <row r="71" customFormat="false" ht="34.5" hidden="false" customHeight="true" outlineLevel="0" collapsed="false">
      <c r="A71" s="20" t="s">
        <v>482</v>
      </c>
      <c r="B71" s="20" t="s">
        <v>40</v>
      </c>
      <c r="C71" s="20" t="s">
        <v>395</v>
      </c>
      <c r="D71" s="20" t="s">
        <v>483</v>
      </c>
      <c r="E71" s="20" t="s">
        <v>81</v>
      </c>
      <c r="F71" s="20" t="s">
        <v>119</v>
      </c>
      <c r="G71" s="20" t="s">
        <v>306</v>
      </c>
      <c r="H71" s="20" t="s">
        <v>484</v>
      </c>
      <c r="I71" s="20" t="s">
        <v>485</v>
      </c>
      <c r="J71" s="20" t="s">
        <v>97</v>
      </c>
      <c r="K71" s="20" t="s">
        <v>486</v>
      </c>
      <c r="L71" s="20" t="s">
        <v>393</v>
      </c>
      <c r="M71" s="21" t="s">
        <v>35</v>
      </c>
      <c r="N71" s="22"/>
      <c r="O71" s="22"/>
      <c r="P71" s="22"/>
      <c r="Q71" s="22"/>
    </row>
    <row r="72" customFormat="false" ht="34.5" hidden="false" customHeight="true" outlineLevel="0" collapsed="false">
      <c r="A72" s="20" t="s">
        <v>487</v>
      </c>
      <c r="B72" s="20" t="s">
        <v>41</v>
      </c>
      <c r="C72" s="20" t="s">
        <v>488</v>
      </c>
      <c r="D72" s="20" t="s">
        <v>489</v>
      </c>
      <c r="E72" s="20" t="s">
        <v>66</v>
      </c>
      <c r="F72" s="20" t="s">
        <v>76</v>
      </c>
      <c r="G72" s="20" t="s">
        <v>68</v>
      </c>
      <c r="H72" s="20" t="s">
        <v>169</v>
      </c>
      <c r="I72" s="20" t="s">
        <v>490</v>
      </c>
      <c r="J72" s="20" t="s">
        <v>491</v>
      </c>
      <c r="K72" s="20" t="s">
        <v>492</v>
      </c>
      <c r="L72" s="20" t="s">
        <v>493</v>
      </c>
      <c r="M72" s="21" t="s">
        <v>35</v>
      </c>
      <c r="N72" s="22"/>
      <c r="O72" s="22"/>
      <c r="P72" s="22"/>
      <c r="Q72" s="22"/>
    </row>
    <row r="73" customFormat="false" ht="34.5" hidden="false" customHeight="true" outlineLevel="0" collapsed="false">
      <c r="A73" s="20" t="s">
        <v>494</v>
      </c>
      <c r="B73" s="20" t="s">
        <v>41</v>
      </c>
      <c r="C73" s="20" t="s">
        <v>495</v>
      </c>
      <c r="D73" s="20" t="s">
        <v>496</v>
      </c>
      <c r="E73" s="20" t="s">
        <v>66</v>
      </c>
      <c r="F73" s="20" t="s">
        <v>76</v>
      </c>
      <c r="G73" s="20" t="s">
        <v>68</v>
      </c>
      <c r="H73" s="20" t="s">
        <v>169</v>
      </c>
      <c r="I73" s="20" t="s">
        <v>497</v>
      </c>
      <c r="J73" s="20" t="s">
        <v>498</v>
      </c>
      <c r="K73" s="20" t="s">
        <v>492</v>
      </c>
      <c r="L73" s="20" t="s">
        <v>493</v>
      </c>
      <c r="M73" s="21" t="s">
        <v>35</v>
      </c>
      <c r="N73" s="22"/>
      <c r="O73" s="22"/>
      <c r="P73" s="22"/>
      <c r="Q73" s="22"/>
    </row>
    <row r="74" customFormat="false" ht="34.5" hidden="false" customHeight="true" outlineLevel="0" collapsed="false">
      <c r="A74" s="20" t="s">
        <v>499</v>
      </c>
      <c r="B74" s="20" t="s">
        <v>41</v>
      </c>
      <c r="C74" s="20" t="s">
        <v>500</v>
      </c>
      <c r="D74" s="20" t="s">
        <v>501</v>
      </c>
      <c r="E74" s="20" t="s">
        <v>66</v>
      </c>
      <c r="F74" s="20" t="s">
        <v>76</v>
      </c>
      <c r="G74" s="20" t="s">
        <v>68</v>
      </c>
      <c r="H74" s="20" t="s">
        <v>169</v>
      </c>
      <c r="I74" s="20" t="s">
        <v>502</v>
      </c>
      <c r="J74" s="20" t="s">
        <v>503</v>
      </c>
      <c r="K74" s="20" t="s">
        <v>492</v>
      </c>
      <c r="L74" s="20" t="s">
        <v>493</v>
      </c>
      <c r="M74" s="21" t="s">
        <v>35</v>
      </c>
      <c r="N74" s="22"/>
      <c r="O74" s="22"/>
      <c r="P74" s="22"/>
      <c r="Q74" s="22"/>
    </row>
    <row r="75" customFormat="false" ht="34.5" hidden="false" customHeight="true" outlineLevel="0" collapsed="false">
      <c r="A75" s="20" t="s">
        <v>504</v>
      </c>
      <c r="B75" s="20" t="s">
        <v>41</v>
      </c>
      <c r="C75" s="20" t="s">
        <v>505</v>
      </c>
      <c r="D75" s="20" t="s">
        <v>506</v>
      </c>
      <c r="E75" s="20" t="s">
        <v>66</v>
      </c>
      <c r="F75" s="20" t="s">
        <v>76</v>
      </c>
      <c r="G75" s="20" t="s">
        <v>68</v>
      </c>
      <c r="H75" s="20" t="s">
        <v>169</v>
      </c>
      <c r="I75" s="20" t="s">
        <v>507</v>
      </c>
      <c r="J75" s="20" t="s">
        <v>508</v>
      </c>
      <c r="K75" s="20" t="s">
        <v>492</v>
      </c>
      <c r="L75" s="20" t="s">
        <v>493</v>
      </c>
      <c r="M75" s="21" t="s">
        <v>35</v>
      </c>
      <c r="N75" s="22"/>
      <c r="O75" s="22"/>
      <c r="P75" s="22"/>
      <c r="Q75" s="22"/>
    </row>
    <row r="76" customFormat="false" ht="23.25" hidden="false" customHeight="true" outlineLevel="0" collapsed="false">
      <c r="A76" s="20" t="s">
        <v>509</v>
      </c>
      <c r="B76" s="20" t="s">
        <v>41</v>
      </c>
      <c r="C76" s="20" t="s">
        <v>510</v>
      </c>
      <c r="D76" s="20" t="s">
        <v>511</v>
      </c>
      <c r="E76" s="20" t="s">
        <v>161</v>
      </c>
      <c r="F76" s="20" t="s">
        <v>67</v>
      </c>
      <c r="G76" s="20" t="s">
        <v>68</v>
      </c>
      <c r="H76" s="20" t="s">
        <v>97</v>
      </c>
      <c r="I76" s="20" t="s">
        <v>512</v>
      </c>
      <c r="J76" s="20" t="s">
        <v>513</v>
      </c>
      <c r="K76" s="20" t="s">
        <v>514</v>
      </c>
      <c r="L76" s="20" t="s">
        <v>311</v>
      </c>
      <c r="M76" s="21" t="s">
        <v>35</v>
      </c>
      <c r="N76" s="22"/>
      <c r="O76" s="22"/>
      <c r="P76" s="22"/>
      <c r="Q76" s="22"/>
    </row>
    <row r="77" customFormat="false" ht="34.5" hidden="false" customHeight="true" outlineLevel="0" collapsed="false">
      <c r="A77" s="20" t="s">
        <v>515</v>
      </c>
      <c r="B77" s="20" t="s">
        <v>41</v>
      </c>
      <c r="C77" s="20" t="s">
        <v>510</v>
      </c>
      <c r="D77" s="20" t="s">
        <v>516</v>
      </c>
      <c r="E77" s="20" t="s">
        <v>66</v>
      </c>
      <c r="F77" s="20" t="s">
        <v>89</v>
      </c>
      <c r="G77" s="20" t="s">
        <v>306</v>
      </c>
      <c r="H77" s="20" t="s">
        <v>517</v>
      </c>
      <c r="I77" s="20" t="s">
        <v>518</v>
      </c>
      <c r="J77" s="20" t="s">
        <v>97</v>
      </c>
      <c r="K77" s="20" t="s">
        <v>519</v>
      </c>
      <c r="L77" s="20" t="s">
        <v>520</v>
      </c>
      <c r="M77" s="21" t="s">
        <v>35</v>
      </c>
      <c r="N77" s="22"/>
      <c r="O77" s="22"/>
      <c r="P77" s="22"/>
      <c r="Q77" s="22"/>
    </row>
    <row r="78" customFormat="false" ht="34.5" hidden="false" customHeight="true" outlineLevel="0" collapsed="false">
      <c r="A78" s="20" t="s">
        <v>521</v>
      </c>
      <c r="B78" s="20" t="s">
        <v>41</v>
      </c>
      <c r="C78" s="20" t="s">
        <v>522</v>
      </c>
      <c r="D78" s="20" t="s">
        <v>523</v>
      </c>
      <c r="E78" s="20" t="s">
        <v>66</v>
      </c>
      <c r="F78" s="20" t="s">
        <v>76</v>
      </c>
      <c r="G78" s="20" t="s">
        <v>68</v>
      </c>
      <c r="H78" s="20" t="s">
        <v>97</v>
      </c>
      <c r="I78" s="20" t="s">
        <v>524</v>
      </c>
      <c r="J78" s="20" t="s">
        <v>525</v>
      </c>
      <c r="K78" s="20" t="s">
        <v>526</v>
      </c>
      <c r="L78" s="20" t="s">
        <v>527</v>
      </c>
      <c r="M78" s="21" t="s">
        <v>35</v>
      </c>
      <c r="N78" s="22"/>
      <c r="O78" s="22"/>
      <c r="P78" s="22"/>
      <c r="Q78" s="22"/>
    </row>
    <row r="79" customFormat="false" ht="23.25" hidden="false" customHeight="true" outlineLevel="0" collapsed="false">
      <c r="A79" s="20" t="s">
        <v>528</v>
      </c>
      <c r="B79" s="20" t="s">
        <v>41</v>
      </c>
      <c r="C79" s="20" t="s">
        <v>522</v>
      </c>
      <c r="D79" s="20" t="s">
        <v>529</v>
      </c>
      <c r="E79" s="20" t="s">
        <v>81</v>
      </c>
      <c r="F79" s="20" t="s">
        <v>76</v>
      </c>
      <c r="G79" s="20" t="s">
        <v>68</v>
      </c>
      <c r="H79" s="20" t="s">
        <v>97</v>
      </c>
      <c r="I79" s="20" t="s">
        <v>530</v>
      </c>
      <c r="J79" s="20" t="s">
        <v>531</v>
      </c>
      <c r="K79" s="20" t="s">
        <v>532</v>
      </c>
      <c r="L79" s="20" t="s">
        <v>527</v>
      </c>
      <c r="M79" s="21" t="s">
        <v>35</v>
      </c>
      <c r="N79" s="22"/>
      <c r="O79" s="22"/>
      <c r="P79" s="22"/>
      <c r="Q79" s="22"/>
    </row>
    <row r="80" customFormat="false" ht="23.25" hidden="false" customHeight="true" outlineLevel="0" collapsed="false">
      <c r="A80" s="20" t="s">
        <v>533</v>
      </c>
      <c r="B80" s="20" t="s">
        <v>41</v>
      </c>
      <c r="C80" s="20" t="s">
        <v>534</v>
      </c>
      <c r="D80" s="20" t="s">
        <v>535</v>
      </c>
      <c r="E80" s="20" t="s">
        <v>66</v>
      </c>
      <c r="F80" s="20" t="s">
        <v>89</v>
      </c>
      <c r="G80" s="20" t="s">
        <v>68</v>
      </c>
      <c r="H80" s="20" t="s">
        <v>97</v>
      </c>
      <c r="I80" s="20" t="s">
        <v>536</v>
      </c>
      <c r="J80" s="20" t="s">
        <v>537</v>
      </c>
      <c r="K80" s="20" t="s">
        <v>538</v>
      </c>
      <c r="L80" s="20" t="s">
        <v>539</v>
      </c>
      <c r="M80" s="21" t="s">
        <v>35</v>
      </c>
      <c r="N80" s="22"/>
      <c r="O80" s="22"/>
      <c r="P80" s="22"/>
      <c r="Q80" s="22"/>
    </row>
    <row r="81" customFormat="false" ht="34.5" hidden="false" customHeight="true" outlineLevel="0" collapsed="false">
      <c r="A81" s="20" t="s">
        <v>540</v>
      </c>
      <c r="B81" s="20" t="s">
        <v>41</v>
      </c>
      <c r="C81" s="20" t="s">
        <v>534</v>
      </c>
      <c r="D81" s="20" t="s">
        <v>541</v>
      </c>
      <c r="E81" s="20" t="s">
        <v>81</v>
      </c>
      <c r="F81" s="20" t="s">
        <v>89</v>
      </c>
      <c r="G81" s="20" t="s">
        <v>542</v>
      </c>
      <c r="H81" s="20" t="s">
        <v>543</v>
      </c>
      <c r="I81" s="20" t="s">
        <v>544</v>
      </c>
      <c r="J81" s="20" t="s">
        <v>97</v>
      </c>
      <c r="K81" s="20" t="s">
        <v>545</v>
      </c>
      <c r="L81" s="20" t="s">
        <v>546</v>
      </c>
      <c r="M81" s="21" t="s">
        <v>35</v>
      </c>
      <c r="N81" s="22"/>
      <c r="O81" s="22"/>
      <c r="P81" s="22"/>
      <c r="Q81" s="22"/>
    </row>
    <row r="82" customFormat="false" ht="15" hidden="false" customHeight="true" outlineLevel="0" collapsed="false">
      <c r="A82" s="20" t="s">
        <v>547</v>
      </c>
      <c r="B82" s="20" t="s">
        <v>42</v>
      </c>
      <c r="C82" s="20" t="s">
        <v>548</v>
      </c>
      <c r="D82" s="20" t="s">
        <v>549</v>
      </c>
      <c r="E82" s="20" t="s">
        <v>66</v>
      </c>
      <c r="F82" s="20" t="s">
        <v>89</v>
      </c>
      <c r="G82" s="20" t="s">
        <v>350</v>
      </c>
      <c r="H82" s="20" t="s">
        <v>550</v>
      </c>
      <c r="I82" s="20" t="s">
        <v>551</v>
      </c>
      <c r="J82" s="20" t="s">
        <v>97</v>
      </c>
      <c r="K82" s="20" t="s">
        <v>552</v>
      </c>
      <c r="L82" s="20" t="s">
        <v>553</v>
      </c>
      <c r="M82" s="21" t="s">
        <v>35</v>
      </c>
      <c r="N82" s="22"/>
      <c r="O82" s="22"/>
      <c r="P82" s="22"/>
      <c r="Q82" s="22"/>
    </row>
    <row r="83" customFormat="false" ht="34.5" hidden="false" customHeight="true" outlineLevel="0" collapsed="false">
      <c r="A83" s="20" t="s">
        <v>554</v>
      </c>
      <c r="B83" s="20" t="s">
        <v>42</v>
      </c>
      <c r="C83" s="20" t="s">
        <v>548</v>
      </c>
      <c r="D83" s="20" t="s">
        <v>555</v>
      </c>
      <c r="E83" s="20" t="s">
        <v>161</v>
      </c>
      <c r="F83" s="20" t="s">
        <v>67</v>
      </c>
      <c r="G83" s="20" t="s">
        <v>306</v>
      </c>
      <c r="H83" s="20" t="s">
        <v>556</v>
      </c>
      <c r="I83" s="20" t="s">
        <v>557</v>
      </c>
      <c r="J83" s="20" t="s">
        <v>97</v>
      </c>
      <c r="K83" s="20" t="s">
        <v>558</v>
      </c>
      <c r="L83" s="20" t="s">
        <v>559</v>
      </c>
      <c r="M83" s="21" t="s">
        <v>35</v>
      </c>
      <c r="N83" s="22"/>
      <c r="O83" s="22"/>
      <c r="P83" s="22"/>
      <c r="Q83" s="22"/>
    </row>
    <row r="84" customFormat="false" ht="45.75" hidden="false" customHeight="true" outlineLevel="0" collapsed="false">
      <c r="A84" s="20" t="s">
        <v>560</v>
      </c>
      <c r="B84" s="20" t="s">
        <v>42</v>
      </c>
      <c r="C84" s="20" t="s">
        <v>561</v>
      </c>
      <c r="D84" s="20" t="s">
        <v>562</v>
      </c>
      <c r="E84" s="20" t="s">
        <v>66</v>
      </c>
      <c r="F84" s="20" t="s">
        <v>89</v>
      </c>
      <c r="G84" s="20" t="s">
        <v>350</v>
      </c>
      <c r="H84" s="20" t="s">
        <v>563</v>
      </c>
      <c r="I84" s="20" t="s">
        <v>564</v>
      </c>
      <c r="J84" s="20" t="s">
        <v>565</v>
      </c>
      <c r="K84" s="20" t="s">
        <v>566</v>
      </c>
      <c r="L84" s="20" t="s">
        <v>461</v>
      </c>
      <c r="M84" s="21" t="s">
        <v>32</v>
      </c>
      <c r="N84" s="22" t="s">
        <v>462</v>
      </c>
      <c r="O84" s="22" t="s">
        <v>131</v>
      </c>
      <c r="P84" s="22" t="s">
        <v>132</v>
      </c>
      <c r="Q84" s="22"/>
    </row>
    <row r="85" customFormat="false" ht="34.5" hidden="false" customHeight="true" outlineLevel="0" collapsed="false">
      <c r="A85" s="20" t="s">
        <v>567</v>
      </c>
      <c r="B85" s="20" t="s">
        <v>42</v>
      </c>
      <c r="C85" s="20" t="s">
        <v>561</v>
      </c>
      <c r="D85" s="20" t="s">
        <v>568</v>
      </c>
      <c r="E85" s="20" t="s">
        <v>66</v>
      </c>
      <c r="F85" s="20" t="s">
        <v>89</v>
      </c>
      <c r="G85" s="20" t="s">
        <v>350</v>
      </c>
      <c r="H85" s="20" t="s">
        <v>97</v>
      </c>
      <c r="I85" s="20" t="s">
        <v>569</v>
      </c>
      <c r="J85" s="20" t="s">
        <v>97</v>
      </c>
      <c r="K85" s="20" t="s">
        <v>570</v>
      </c>
      <c r="L85" s="20" t="s">
        <v>461</v>
      </c>
      <c r="M85" s="21" t="s">
        <v>32</v>
      </c>
      <c r="N85" s="22" t="s">
        <v>462</v>
      </c>
      <c r="O85" s="22" t="s">
        <v>131</v>
      </c>
      <c r="P85" s="22" t="s">
        <v>132</v>
      </c>
      <c r="Q85" s="22"/>
    </row>
    <row r="86" customFormat="false" ht="34.5" hidden="false" customHeight="true" outlineLevel="0" collapsed="false">
      <c r="A86" s="20" t="s">
        <v>571</v>
      </c>
      <c r="B86" s="20" t="s">
        <v>42</v>
      </c>
      <c r="C86" s="20" t="s">
        <v>561</v>
      </c>
      <c r="D86" s="20" t="s">
        <v>572</v>
      </c>
      <c r="E86" s="20" t="s">
        <v>81</v>
      </c>
      <c r="F86" s="20" t="s">
        <v>89</v>
      </c>
      <c r="G86" s="20" t="s">
        <v>350</v>
      </c>
      <c r="H86" s="20" t="s">
        <v>97</v>
      </c>
      <c r="I86" s="20" t="s">
        <v>573</v>
      </c>
      <c r="J86" s="20" t="s">
        <v>550</v>
      </c>
      <c r="K86" s="20" t="s">
        <v>574</v>
      </c>
      <c r="L86" s="20" t="s">
        <v>461</v>
      </c>
      <c r="M86" s="21" t="s">
        <v>32</v>
      </c>
      <c r="N86" s="22" t="s">
        <v>462</v>
      </c>
      <c r="O86" s="22" t="s">
        <v>131</v>
      </c>
      <c r="P86" s="22" t="s">
        <v>132</v>
      </c>
      <c r="Q86" s="22"/>
    </row>
    <row r="87" customFormat="false" ht="34.5" hidden="false" customHeight="true" outlineLevel="0" collapsed="false">
      <c r="A87" s="20" t="s">
        <v>575</v>
      </c>
      <c r="B87" s="20" t="s">
        <v>42</v>
      </c>
      <c r="C87" s="20" t="s">
        <v>561</v>
      </c>
      <c r="D87" s="20" t="s">
        <v>576</v>
      </c>
      <c r="E87" s="20" t="s">
        <v>118</v>
      </c>
      <c r="F87" s="20" t="s">
        <v>76</v>
      </c>
      <c r="G87" s="20" t="s">
        <v>350</v>
      </c>
      <c r="H87" s="20" t="s">
        <v>97</v>
      </c>
      <c r="I87" s="20" t="s">
        <v>577</v>
      </c>
      <c r="J87" s="20" t="s">
        <v>97</v>
      </c>
      <c r="K87" s="20" t="s">
        <v>578</v>
      </c>
      <c r="L87" s="20" t="s">
        <v>461</v>
      </c>
      <c r="M87" s="21" t="s">
        <v>32</v>
      </c>
      <c r="N87" s="22" t="s">
        <v>462</v>
      </c>
      <c r="O87" s="22" t="s">
        <v>131</v>
      </c>
      <c r="P87" s="22" t="s">
        <v>132</v>
      </c>
      <c r="Q87" s="22"/>
    </row>
    <row r="88" customFormat="false" ht="23.25" hidden="false" customHeight="true" outlineLevel="0" collapsed="false">
      <c r="A88" s="20" t="s">
        <v>579</v>
      </c>
      <c r="B88" s="20" t="s">
        <v>42</v>
      </c>
      <c r="C88" s="20" t="s">
        <v>580</v>
      </c>
      <c r="D88" s="20" t="s">
        <v>581</v>
      </c>
      <c r="E88" s="20" t="s">
        <v>161</v>
      </c>
      <c r="F88" s="20" t="s">
        <v>67</v>
      </c>
      <c r="G88" s="20" t="s">
        <v>68</v>
      </c>
      <c r="H88" s="20" t="s">
        <v>582</v>
      </c>
      <c r="I88" s="20" t="s">
        <v>583</v>
      </c>
      <c r="J88" s="20" t="s">
        <v>97</v>
      </c>
      <c r="K88" s="20" t="s">
        <v>584</v>
      </c>
      <c r="L88" s="20" t="s">
        <v>165</v>
      </c>
      <c r="M88" s="21" t="s">
        <v>35</v>
      </c>
      <c r="N88" s="22"/>
      <c r="O88" s="22"/>
      <c r="P88" s="22"/>
      <c r="Q88" s="22"/>
    </row>
    <row r="89" customFormat="false" ht="34.5" hidden="false" customHeight="true" outlineLevel="0" collapsed="false">
      <c r="A89" s="20" t="s">
        <v>585</v>
      </c>
      <c r="B89" s="20" t="s">
        <v>43</v>
      </c>
      <c r="C89" s="20" t="s">
        <v>586</v>
      </c>
      <c r="D89" s="20" t="s">
        <v>587</v>
      </c>
      <c r="E89" s="20" t="s">
        <v>66</v>
      </c>
      <c r="F89" s="20" t="s">
        <v>67</v>
      </c>
      <c r="G89" s="20" t="s">
        <v>350</v>
      </c>
      <c r="H89" s="20" t="s">
        <v>97</v>
      </c>
      <c r="I89" s="20" t="s">
        <v>588</v>
      </c>
      <c r="J89" s="20" t="s">
        <v>589</v>
      </c>
      <c r="K89" s="20" t="s">
        <v>590</v>
      </c>
      <c r="L89" s="20" t="s">
        <v>591</v>
      </c>
      <c r="M89" s="21" t="s">
        <v>35</v>
      </c>
      <c r="N89" s="22"/>
      <c r="O89" s="22"/>
      <c r="P89" s="22"/>
      <c r="Q89" s="22"/>
    </row>
    <row r="90" customFormat="false" ht="15" hidden="false" customHeight="true" outlineLevel="0" collapsed="false">
      <c r="A90" s="20" t="s">
        <v>592</v>
      </c>
      <c r="B90" s="20" t="s">
        <v>43</v>
      </c>
      <c r="C90" s="20" t="s">
        <v>586</v>
      </c>
      <c r="D90" s="20" t="s">
        <v>593</v>
      </c>
      <c r="E90" s="20" t="s">
        <v>81</v>
      </c>
      <c r="F90" s="20" t="s">
        <v>76</v>
      </c>
      <c r="G90" s="20" t="s">
        <v>350</v>
      </c>
      <c r="H90" s="20" t="s">
        <v>594</v>
      </c>
      <c r="I90" s="20" t="s">
        <v>595</v>
      </c>
      <c r="J90" s="20" t="s">
        <v>596</v>
      </c>
      <c r="K90" s="20" t="s">
        <v>597</v>
      </c>
      <c r="L90" s="20" t="s">
        <v>598</v>
      </c>
      <c r="M90" s="21" t="s">
        <v>35</v>
      </c>
      <c r="N90" s="22"/>
      <c r="O90" s="22"/>
      <c r="P90" s="22"/>
      <c r="Q90" s="22"/>
    </row>
    <row r="91" customFormat="false" ht="15" hidden="false" customHeight="true" outlineLevel="0" collapsed="false">
      <c r="A91" s="20" t="s">
        <v>599</v>
      </c>
      <c r="B91" s="20" t="s">
        <v>43</v>
      </c>
      <c r="C91" s="20" t="s">
        <v>586</v>
      </c>
      <c r="D91" s="20" t="s">
        <v>600</v>
      </c>
      <c r="E91" s="20" t="s">
        <v>96</v>
      </c>
      <c r="F91" s="20" t="s">
        <v>76</v>
      </c>
      <c r="G91" s="20" t="s">
        <v>350</v>
      </c>
      <c r="H91" s="20" t="s">
        <v>97</v>
      </c>
      <c r="I91" s="20" t="s">
        <v>601</v>
      </c>
      <c r="J91" s="20" t="s">
        <v>192</v>
      </c>
      <c r="K91" s="20" t="s">
        <v>602</v>
      </c>
      <c r="L91" s="20" t="s">
        <v>598</v>
      </c>
      <c r="M91" s="21" t="s">
        <v>35</v>
      </c>
      <c r="N91" s="22"/>
      <c r="O91" s="22"/>
      <c r="P91" s="22"/>
      <c r="Q91" s="22"/>
    </row>
    <row r="92" customFormat="false" ht="23.25" hidden="false" customHeight="true" outlineLevel="0" collapsed="false">
      <c r="A92" s="20" t="s">
        <v>603</v>
      </c>
      <c r="B92" s="20" t="s">
        <v>43</v>
      </c>
      <c r="C92" s="20" t="s">
        <v>586</v>
      </c>
      <c r="D92" s="20" t="s">
        <v>604</v>
      </c>
      <c r="E92" s="20" t="s">
        <v>81</v>
      </c>
      <c r="F92" s="20" t="s">
        <v>89</v>
      </c>
      <c r="G92" s="20" t="s">
        <v>350</v>
      </c>
      <c r="H92" s="20" t="s">
        <v>605</v>
      </c>
      <c r="I92" s="20" t="s">
        <v>606</v>
      </c>
      <c r="J92" s="20" t="s">
        <v>97</v>
      </c>
      <c r="K92" s="20" t="s">
        <v>607</v>
      </c>
      <c r="L92" s="20" t="s">
        <v>598</v>
      </c>
      <c r="M92" s="21" t="s">
        <v>35</v>
      </c>
      <c r="N92" s="22"/>
      <c r="O92" s="22"/>
      <c r="P92" s="22"/>
      <c r="Q92" s="22"/>
    </row>
    <row r="93" customFormat="false" ht="23.25" hidden="false" customHeight="true" outlineLevel="0" collapsed="false">
      <c r="A93" s="20" t="s">
        <v>608</v>
      </c>
      <c r="B93" s="20" t="s">
        <v>43</v>
      </c>
      <c r="C93" s="20" t="s">
        <v>586</v>
      </c>
      <c r="D93" s="20" t="s">
        <v>609</v>
      </c>
      <c r="E93" s="20" t="s">
        <v>81</v>
      </c>
      <c r="F93" s="20" t="s">
        <v>76</v>
      </c>
      <c r="G93" s="20" t="s">
        <v>350</v>
      </c>
      <c r="H93" s="20" t="s">
        <v>97</v>
      </c>
      <c r="I93" s="20" t="s">
        <v>610</v>
      </c>
      <c r="J93" s="20" t="s">
        <v>611</v>
      </c>
      <c r="K93" s="20" t="s">
        <v>612</v>
      </c>
      <c r="L93" s="20" t="s">
        <v>598</v>
      </c>
      <c r="M93" s="21" t="s">
        <v>35</v>
      </c>
      <c r="N93" s="22"/>
      <c r="O93" s="22"/>
      <c r="P93" s="22"/>
      <c r="Q93" s="22"/>
    </row>
    <row r="94" customFormat="false" ht="45.75" hidden="false" customHeight="true" outlineLevel="0" collapsed="false">
      <c r="A94" s="20" t="s">
        <v>613</v>
      </c>
      <c r="B94" s="20" t="s">
        <v>43</v>
      </c>
      <c r="C94" s="20" t="s">
        <v>586</v>
      </c>
      <c r="D94" s="20" t="s">
        <v>614</v>
      </c>
      <c r="E94" s="20" t="s">
        <v>66</v>
      </c>
      <c r="F94" s="20" t="s">
        <v>89</v>
      </c>
      <c r="G94" s="20" t="s">
        <v>350</v>
      </c>
      <c r="H94" s="20" t="s">
        <v>615</v>
      </c>
      <c r="I94" s="20" t="s">
        <v>616</v>
      </c>
      <c r="J94" s="20" t="s">
        <v>617</v>
      </c>
      <c r="K94" s="20" t="s">
        <v>618</v>
      </c>
      <c r="L94" s="20" t="s">
        <v>619</v>
      </c>
      <c r="M94" s="21" t="s">
        <v>35</v>
      </c>
      <c r="N94" s="22"/>
      <c r="O94" s="22"/>
      <c r="P94" s="22"/>
      <c r="Q94" s="22"/>
    </row>
    <row r="95" customFormat="false" ht="15" hidden="false" customHeight="true" outlineLevel="0" collapsed="false">
      <c r="A95" s="20" t="s">
        <v>620</v>
      </c>
      <c r="B95" s="20" t="s">
        <v>43</v>
      </c>
      <c r="C95" s="20" t="s">
        <v>586</v>
      </c>
      <c r="D95" s="20" t="s">
        <v>621</v>
      </c>
      <c r="E95" s="20" t="s">
        <v>96</v>
      </c>
      <c r="F95" s="20" t="s">
        <v>76</v>
      </c>
      <c r="G95" s="20" t="s">
        <v>350</v>
      </c>
      <c r="H95" s="20" t="s">
        <v>97</v>
      </c>
      <c r="I95" s="20" t="s">
        <v>622</v>
      </c>
      <c r="J95" s="20" t="s">
        <v>623</v>
      </c>
      <c r="K95" s="20" t="s">
        <v>624</v>
      </c>
      <c r="L95" s="20" t="s">
        <v>598</v>
      </c>
      <c r="M95" s="21" t="s">
        <v>35</v>
      </c>
      <c r="N95" s="22"/>
      <c r="O95" s="22"/>
      <c r="P95" s="22"/>
      <c r="Q95" s="22"/>
    </row>
    <row r="96" customFormat="false" ht="15" hidden="false" customHeight="true" outlineLevel="0" collapsed="false">
      <c r="A96" s="20" t="s">
        <v>625</v>
      </c>
      <c r="B96" s="20" t="s">
        <v>43</v>
      </c>
      <c r="C96" s="20" t="s">
        <v>586</v>
      </c>
      <c r="D96" s="20" t="s">
        <v>626</v>
      </c>
      <c r="E96" s="20" t="s">
        <v>81</v>
      </c>
      <c r="F96" s="20" t="s">
        <v>76</v>
      </c>
      <c r="G96" s="20" t="s">
        <v>350</v>
      </c>
      <c r="H96" s="20" t="s">
        <v>627</v>
      </c>
      <c r="I96" s="20" t="s">
        <v>628</v>
      </c>
      <c r="J96" s="20" t="s">
        <v>97</v>
      </c>
      <c r="K96" s="20" t="s">
        <v>629</v>
      </c>
      <c r="L96" s="20" t="s">
        <v>598</v>
      </c>
      <c r="M96" s="21" t="s">
        <v>35</v>
      </c>
      <c r="N96" s="22"/>
      <c r="O96" s="22"/>
      <c r="P96" s="22"/>
      <c r="Q96" s="22"/>
    </row>
    <row r="97" customFormat="false" ht="15" hidden="false" customHeight="true" outlineLevel="0" collapsed="false">
      <c r="A97" s="20" t="s">
        <v>630</v>
      </c>
      <c r="B97" s="20" t="s">
        <v>43</v>
      </c>
      <c r="C97" s="20" t="s">
        <v>586</v>
      </c>
      <c r="D97" s="20" t="s">
        <v>631</v>
      </c>
      <c r="E97" s="20" t="s">
        <v>161</v>
      </c>
      <c r="F97" s="20" t="s">
        <v>89</v>
      </c>
      <c r="G97" s="20" t="s">
        <v>306</v>
      </c>
      <c r="H97" s="20" t="s">
        <v>97</v>
      </c>
      <c r="I97" s="20" t="s">
        <v>632</v>
      </c>
      <c r="J97" s="20" t="s">
        <v>97</v>
      </c>
      <c r="K97" s="20" t="s">
        <v>633</v>
      </c>
      <c r="L97" s="20" t="s">
        <v>598</v>
      </c>
      <c r="M97" s="21" t="s">
        <v>35</v>
      </c>
      <c r="N97" s="22"/>
      <c r="O97" s="22"/>
      <c r="P97" s="22"/>
      <c r="Q97" s="22"/>
    </row>
    <row r="98" customFormat="false" ht="34.5" hidden="false" customHeight="true" outlineLevel="0" collapsed="false">
      <c r="A98" s="20" t="s">
        <v>634</v>
      </c>
      <c r="B98" s="20" t="s">
        <v>43</v>
      </c>
      <c r="C98" s="20" t="s">
        <v>635</v>
      </c>
      <c r="D98" s="20" t="s">
        <v>636</v>
      </c>
      <c r="E98" s="20" t="s">
        <v>66</v>
      </c>
      <c r="F98" s="20" t="s">
        <v>67</v>
      </c>
      <c r="G98" s="20" t="s">
        <v>350</v>
      </c>
      <c r="H98" s="20" t="s">
        <v>97</v>
      </c>
      <c r="I98" s="20" t="s">
        <v>637</v>
      </c>
      <c r="J98" s="20" t="s">
        <v>638</v>
      </c>
      <c r="K98" s="20" t="s">
        <v>639</v>
      </c>
      <c r="L98" s="20" t="s">
        <v>640</v>
      </c>
      <c r="M98" s="21" t="s">
        <v>35</v>
      </c>
      <c r="N98" s="22"/>
      <c r="O98" s="22"/>
      <c r="P98" s="22"/>
      <c r="Q98" s="22"/>
    </row>
    <row r="99" customFormat="false" ht="15" hidden="false" customHeight="true" outlineLevel="0" collapsed="false">
      <c r="A99" s="20" t="s">
        <v>641</v>
      </c>
      <c r="B99" s="20" t="s">
        <v>43</v>
      </c>
      <c r="C99" s="20" t="s">
        <v>635</v>
      </c>
      <c r="D99" s="20" t="s">
        <v>642</v>
      </c>
      <c r="E99" s="20" t="s">
        <v>96</v>
      </c>
      <c r="F99" s="20" t="s">
        <v>89</v>
      </c>
      <c r="G99" s="20" t="s">
        <v>350</v>
      </c>
      <c r="H99" s="20" t="s">
        <v>97</v>
      </c>
      <c r="I99" s="20" t="s">
        <v>643</v>
      </c>
      <c r="J99" s="20" t="s">
        <v>97</v>
      </c>
      <c r="K99" s="20" t="s">
        <v>644</v>
      </c>
      <c r="L99" s="20" t="s">
        <v>645</v>
      </c>
      <c r="M99" s="21" t="s">
        <v>35</v>
      </c>
      <c r="N99" s="22"/>
      <c r="O99" s="22"/>
      <c r="P99" s="22"/>
      <c r="Q99" s="22"/>
    </row>
    <row r="100" customFormat="false" ht="23.25" hidden="false" customHeight="true" outlineLevel="0" collapsed="false">
      <c r="A100" s="20" t="s">
        <v>646</v>
      </c>
      <c r="B100" s="20" t="s">
        <v>43</v>
      </c>
      <c r="C100" s="20" t="s">
        <v>635</v>
      </c>
      <c r="D100" s="20" t="s">
        <v>647</v>
      </c>
      <c r="E100" s="20" t="s">
        <v>81</v>
      </c>
      <c r="F100" s="20" t="s">
        <v>89</v>
      </c>
      <c r="G100" s="20" t="s">
        <v>350</v>
      </c>
      <c r="H100" s="20" t="s">
        <v>648</v>
      </c>
      <c r="I100" s="20" t="s">
        <v>649</v>
      </c>
      <c r="J100" s="20" t="s">
        <v>650</v>
      </c>
      <c r="K100" s="20" t="s">
        <v>651</v>
      </c>
      <c r="L100" s="20" t="s">
        <v>645</v>
      </c>
      <c r="M100" s="21" t="s">
        <v>35</v>
      </c>
      <c r="N100" s="22"/>
      <c r="O100" s="22"/>
      <c r="P100" s="22"/>
      <c r="Q100" s="22"/>
    </row>
    <row r="101" customFormat="false" ht="15" hidden="false" customHeight="true" outlineLevel="0" collapsed="false">
      <c r="A101" s="20" t="s">
        <v>652</v>
      </c>
      <c r="B101" s="20" t="s">
        <v>43</v>
      </c>
      <c r="C101" s="20" t="s">
        <v>635</v>
      </c>
      <c r="D101" s="20" t="s">
        <v>653</v>
      </c>
      <c r="E101" s="20" t="s">
        <v>96</v>
      </c>
      <c r="F101" s="20" t="s">
        <v>76</v>
      </c>
      <c r="G101" s="20" t="s">
        <v>350</v>
      </c>
      <c r="H101" s="20" t="s">
        <v>97</v>
      </c>
      <c r="I101" s="20" t="s">
        <v>654</v>
      </c>
      <c r="J101" s="20" t="s">
        <v>655</v>
      </c>
      <c r="K101" s="20" t="s">
        <v>656</v>
      </c>
      <c r="L101" s="20" t="s">
        <v>645</v>
      </c>
      <c r="M101" s="21" t="s">
        <v>35</v>
      </c>
      <c r="N101" s="22"/>
      <c r="O101" s="22"/>
      <c r="P101" s="22"/>
      <c r="Q101" s="22"/>
    </row>
    <row r="102" customFormat="false" ht="34.5" hidden="false" customHeight="true" outlineLevel="0" collapsed="false">
      <c r="A102" s="20" t="s">
        <v>657</v>
      </c>
      <c r="B102" s="20" t="s">
        <v>43</v>
      </c>
      <c r="C102" s="20" t="s">
        <v>635</v>
      </c>
      <c r="D102" s="20" t="s">
        <v>658</v>
      </c>
      <c r="E102" s="20" t="s">
        <v>215</v>
      </c>
      <c r="F102" s="20" t="s">
        <v>76</v>
      </c>
      <c r="G102" s="20" t="s">
        <v>350</v>
      </c>
      <c r="H102" s="20" t="s">
        <v>97</v>
      </c>
      <c r="I102" s="20" t="s">
        <v>659</v>
      </c>
      <c r="J102" s="20" t="s">
        <v>363</v>
      </c>
      <c r="K102" s="20" t="s">
        <v>660</v>
      </c>
      <c r="L102" s="20" t="s">
        <v>645</v>
      </c>
      <c r="M102" s="21" t="s">
        <v>35</v>
      </c>
      <c r="N102" s="22"/>
      <c r="O102" s="22"/>
      <c r="P102" s="22"/>
      <c r="Q102" s="22"/>
    </row>
    <row r="103" customFormat="false" ht="23.25" hidden="false" customHeight="true" outlineLevel="0" collapsed="false">
      <c r="A103" s="20" t="s">
        <v>661</v>
      </c>
      <c r="B103" s="20" t="s">
        <v>43</v>
      </c>
      <c r="C103" s="20" t="s">
        <v>635</v>
      </c>
      <c r="D103" s="20" t="s">
        <v>662</v>
      </c>
      <c r="E103" s="20" t="s">
        <v>81</v>
      </c>
      <c r="F103" s="20" t="s">
        <v>89</v>
      </c>
      <c r="G103" s="20" t="s">
        <v>350</v>
      </c>
      <c r="H103" s="20" t="s">
        <v>663</v>
      </c>
      <c r="I103" s="20" t="s">
        <v>664</v>
      </c>
      <c r="J103" s="20" t="s">
        <v>97</v>
      </c>
      <c r="K103" s="20" t="s">
        <v>665</v>
      </c>
      <c r="L103" s="20" t="s">
        <v>645</v>
      </c>
      <c r="M103" s="21" t="s">
        <v>35</v>
      </c>
      <c r="N103" s="22"/>
      <c r="O103" s="22"/>
      <c r="P103" s="22"/>
      <c r="Q103" s="22"/>
    </row>
    <row r="104" customFormat="false" ht="15" hidden="false" customHeight="true" outlineLevel="0" collapsed="false">
      <c r="A104" s="20" t="s">
        <v>666</v>
      </c>
      <c r="B104" s="20" t="s">
        <v>43</v>
      </c>
      <c r="C104" s="20" t="s">
        <v>635</v>
      </c>
      <c r="D104" s="20" t="s">
        <v>667</v>
      </c>
      <c r="E104" s="20" t="s">
        <v>161</v>
      </c>
      <c r="F104" s="20" t="s">
        <v>89</v>
      </c>
      <c r="G104" s="20" t="s">
        <v>68</v>
      </c>
      <c r="H104" s="20" t="s">
        <v>97</v>
      </c>
      <c r="I104" s="20" t="s">
        <v>668</v>
      </c>
      <c r="J104" s="20" t="s">
        <v>97</v>
      </c>
      <c r="K104" s="20" t="s">
        <v>669</v>
      </c>
      <c r="L104" s="20" t="s">
        <v>645</v>
      </c>
      <c r="M104" s="21" t="s">
        <v>35</v>
      </c>
      <c r="N104" s="22"/>
      <c r="O104" s="22"/>
      <c r="P104" s="22"/>
      <c r="Q104" s="22"/>
    </row>
    <row r="105" customFormat="false" ht="23.25" hidden="false" customHeight="true" outlineLevel="0" collapsed="false">
      <c r="A105" s="20" t="s">
        <v>670</v>
      </c>
      <c r="B105" s="20" t="s">
        <v>43</v>
      </c>
      <c r="C105" s="20" t="s">
        <v>671</v>
      </c>
      <c r="D105" s="20" t="s">
        <v>672</v>
      </c>
      <c r="E105" s="20" t="s">
        <v>66</v>
      </c>
      <c r="F105" s="20" t="s">
        <v>76</v>
      </c>
      <c r="G105" s="20" t="s">
        <v>306</v>
      </c>
      <c r="H105" s="20" t="s">
        <v>673</v>
      </c>
      <c r="I105" s="20" t="s">
        <v>674</v>
      </c>
      <c r="J105" s="20" t="s">
        <v>97</v>
      </c>
      <c r="K105" s="20" t="s">
        <v>675</v>
      </c>
      <c r="L105" s="20" t="s">
        <v>676</v>
      </c>
      <c r="M105" s="21" t="s">
        <v>35</v>
      </c>
      <c r="N105" s="22"/>
      <c r="O105" s="22"/>
      <c r="P105" s="22"/>
      <c r="Q105" s="22"/>
    </row>
    <row r="106" customFormat="false" ht="34.5" hidden="false" customHeight="true" outlineLevel="0" collapsed="false">
      <c r="A106" s="20" t="s">
        <v>677</v>
      </c>
      <c r="B106" s="20" t="s">
        <v>43</v>
      </c>
      <c r="C106" s="20" t="s">
        <v>678</v>
      </c>
      <c r="D106" s="20" t="s">
        <v>679</v>
      </c>
      <c r="E106" s="20" t="s">
        <v>66</v>
      </c>
      <c r="F106" s="20" t="s">
        <v>76</v>
      </c>
      <c r="G106" s="20" t="s">
        <v>350</v>
      </c>
      <c r="H106" s="20" t="s">
        <v>680</v>
      </c>
      <c r="I106" s="20" t="s">
        <v>681</v>
      </c>
      <c r="J106" s="20" t="s">
        <v>97</v>
      </c>
      <c r="K106" s="20" t="s">
        <v>682</v>
      </c>
      <c r="L106" s="20" t="s">
        <v>683</v>
      </c>
      <c r="M106" s="21" t="s">
        <v>35</v>
      </c>
      <c r="N106" s="22"/>
      <c r="O106" s="22"/>
      <c r="P106" s="22"/>
      <c r="Q106" s="22"/>
    </row>
    <row r="107" customFormat="false" ht="23.25" hidden="false" customHeight="true" outlineLevel="0" collapsed="false">
      <c r="A107" s="20" t="s">
        <v>684</v>
      </c>
      <c r="B107" s="20" t="s">
        <v>43</v>
      </c>
      <c r="C107" s="20" t="s">
        <v>685</v>
      </c>
      <c r="D107" s="20" t="s">
        <v>686</v>
      </c>
      <c r="E107" s="20" t="s">
        <v>66</v>
      </c>
      <c r="F107" s="20" t="s">
        <v>119</v>
      </c>
      <c r="G107" s="20" t="s">
        <v>306</v>
      </c>
      <c r="H107" s="20" t="s">
        <v>97</v>
      </c>
      <c r="I107" s="20" t="s">
        <v>687</v>
      </c>
      <c r="J107" s="20" t="s">
        <v>97</v>
      </c>
      <c r="K107" s="20" t="s">
        <v>688</v>
      </c>
      <c r="L107" s="20" t="s">
        <v>689</v>
      </c>
      <c r="M107" s="21" t="s">
        <v>35</v>
      </c>
      <c r="N107" s="22"/>
      <c r="O107" s="22"/>
      <c r="P107" s="22"/>
      <c r="Q107" s="22"/>
    </row>
    <row r="108" customFormat="false" ht="34.5" hidden="false" customHeight="true" outlineLevel="0" collapsed="false">
      <c r="A108" s="20" t="s">
        <v>690</v>
      </c>
      <c r="B108" s="20" t="s">
        <v>43</v>
      </c>
      <c r="C108" s="20" t="s">
        <v>691</v>
      </c>
      <c r="D108" s="20" t="s">
        <v>692</v>
      </c>
      <c r="E108" s="20" t="s">
        <v>66</v>
      </c>
      <c r="F108" s="20" t="s">
        <v>76</v>
      </c>
      <c r="G108" s="20" t="s">
        <v>68</v>
      </c>
      <c r="H108" s="20" t="s">
        <v>693</v>
      </c>
      <c r="I108" s="20" t="s">
        <v>694</v>
      </c>
      <c r="J108" s="20" t="s">
        <v>97</v>
      </c>
      <c r="K108" s="20" t="s">
        <v>695</v>
      </c>
      <c r="L108" s="20" t="s">
        <v>696</v>
      </c>
      <c r="M108" s="21" t="s">
        <v>35</v>
      </c>
      <c r="N108" s="22"/>
      <c r="O108" s="22"/>
      <c r="P108" s="22"/>
      <c r="Q108" s="22"/>
    </row>
    <row r="109" customFormat="false" ht="34.5" hidden="false" customHeight="true" outlineLevel="0" collapsed="false">
      <c r="A109" s="20" t="s">
        <v>697</v>
      </c>
      <c r="B109" s="20" t="s">
        <v>44</v>
      </c>
      <c r="C109" s="20" t="s">
        <v>698</v>
      </c>
      <c r="D109" s="20" t="s">
        <v>699</v>
      </c>
      <c r="E109" s="20" t="s">
        <v>66</v>
      </c>
      <c r="F109" s="20" t="s">
        <v>67</v>
      </c>
      <c r="G109" s="20" t="s">
        <v>68</v>
      </c>
      <c r="H109" s="20" t="s">
        <v>700</v>
      </c>
      <c r="I109" s="20" t="s">
        <v>701</v>
      </c>
      <c r="J109" s="20" t="s">
        <v>702</v>
      </c>
      <c r="K109" s="20" t="s">
        <v>703</v>
      </c>
      <c r="L109" s="20" t="s">
        <v>704</v>
      </c>
      <c r="M109" s="21" t="s">
        <v>35</v>
      </c>
      <c r="N109" s="22"/>
      <c r="O109" s="22"/>
      <c r="P109" s="22"/>
      <c r="Q109" s="22"/>
    </row>
    <row r="110" customFormat="false" ht="34.5" hidden="false" customHeight="true" outlineLevel="0" collapsed="false">
      <c r="A110" s="20" t="s">
        <v>705</v>
      </c>
      <c r="B110" s="20" t="s">
        <v>44</v>
      </c>
      <c r="C110" s="20" t="s">
        <v>698</v>
      </c>
      <c r="D110" s="20" t="s">
        <v>706</v>
      </c>
      <c r="E110" s="20" t="s">
        <v>66</v>
      </c>
      <c r="F110" s="20" t="s">
        <v>67</v>
      </c>
      <c r="G110" s="20" t="s">
        <v>68</v>
      </c>
      <c r="H110" s="20" t="s">
        <v>707</v>
      </c>
      <c r="I110" s="20" t="s">
        <v>708</v>
      </c>
      <c r="J110" s="20" t="s">
        <v>709</v>
      </c>
      <c r="K110" s="20" t="s">
        <v>710</v>
      </c>
      <c r="L110" s="20" t="s">
        <v>711</v>
      </c>
      <c r="M110" s="21" t="s">
        <v>35</v>
      </c>
      <c r="N110" s="22"/>
      <c r="O110" s="22"/>
      <c r="P110" s="22"/>
      <c r="Q110" s="22"/>
    </row>
    <row r="111" customFormat="false" ht="34.5" hidden="false" customHeight="true" outlineLevel="0" collapsed="false">
      <c r="A111" s="20" t="s">
        <v>712</v>
      </c>
      <c r="B111" s="20" t="s">
        <v>44</v>
      </c>
      <c r="C111" s="20" t="s">
        <v>698</v>
      </c>
      <c r="D111" s="20" t="s">
        <v>713</v>
      </c>
      <c r="E111" s="20" t="s">
        <v>81</v>
      </c>
      <c r="F111" s="20" t="s">
        <v>67</v>
      </c>
      <c r="G111" s="20" t="s">
        <v>68</v>
      </c>
      <c r="H111" s="20" t="s">
        <v>714</v>
      </c>
      <c r="I111" s="20" t="s">
        <v>708</v>
      </c>
      <c r="J111" s="20" t="s">
        <v>97</v>
      </c>
      <c r="K111" s="20" t="s">
        <v>715</v>
      </c>
      <c r="L111" s="20" t="s">
        <v>711</v>
      </c>
      <c r="M111" s="21" t="s">
        <v>32</v>
      </c>
      <c r="N111" s="22" t="s">
        <v>716</v>
      </c>
      <c r="O111" s="22" t="s">
        <v>131</v>
      </c>
      <c r="P111" s="22" t="s">
        <v>132</v>
      </c>
      <c r="Q111" s="22"/>
    </row>
    <row r="112" customFormat="false" ht="34.5" hidden="false" customHeight="true" outlineLevel="0" collapsed="false">
      <c r="A112" s="20" t="s">
        <v>717</v>
      </c>
      <c r="B112" s="20" t="s">
        <v>44</v>
      </c>
      <c r="C112" s="20" t="s">
        <v>698</v>
      </c>
      <c r="D112" s="20" t="s">
        <v>718</v>
      </c>
      <c r="E112" s="20" t="s">
        <v>118</v>
      </c>
      <c r="F112" s="20" t="s">
        <v>89</v>
      </c>
      <c r="G112" s="20" t="s">
        <v>68</v>
      </c>
      <c r="H112" s="20" t="s">
        <v>719</v>
      </c>
      <c r="I112" s="20" t="s">
        <v>720</v>
      </c>
      <c r="J112" s="20" t="s">
        <v>721</v>
      </c>
      <c r="K112" s="20" t="s">
        <v>722</v>
      </c>
      <c r="L112" s="20" t="s">
        <v>711</v>
      </c>
      <c r="M112" s="21" t="s">
        <v>32</v>
      </c>
      <c r="N112" s="22" t="s">
        <v>716</v>
      </c>
      <c r="O112" s="22" t="s">
        <v>131</v>
      </c>
      <c r="P112" s="22" t="s">
        <v>132</v>
      </c>
      <c r="Q112" s="22"/>
    </row>
    <row r="113" customFormat="false" ht="34.5" hidden="false" customHeight="true" outlineLevel="0" collapsed="false">
      <c r="A113" s="20" t="s">
        <v>723</v>
      </c>
      <c r="B113" s="20" t="s">
        <v>44</v>
      </c>
      <c r="C113" s="20" t="s">
        <v>698</v>
      </c>
      <c r="D113" s="20" t="s">
        <v>724</v>
      </c>
      <c r="E113" s="20" t="s">
        <v>118</v>
      </c>
      <c r="F113" s="20" t="s">
        <v>89</v>
      </c>
      <c r="G113" s="20" t="s">
        <v>68</v>
      </c>
      <c r="H113" s="20" t="s">
        <v>725</v>
      </c>
      <c r="I113" s="20" t="s">
        <v>726</v>
      </c>
      <c r="J113" s="20" t="s">
        <v>727</v>
      </c>
      <c r="K113" s="20" t="s">
        <v>728</v>
      </c>
      <c r="L113" s="20" t="s">
        <v>711</v>
      </c>
      <c r="M113" s="21" t="s">
        <v>32</v>
      </c>
      <c r="N113" s="22" t="s">
        <v>716</v>
      </c>
      <c r="O113" s="22" t="s">
        <v>131</v>
      </c>
      <c r="P113" s="22" t="s">
        <v>132</v>
      </c>
      <c r="Q113" s="22"/>
    </row>
    <row r="114" customFormat="false" ht="34.5" hidden="false" customHeight="true" outlineLevel="0" collapsed="false">
      <c r="A114" s="20" t="s">
        <v>729</v>
      </c>
      <c r="B114" s="20" t="s">
        <v>44</v>
      </c>
      <c r="C114" s="20" t="s">
        <v>698</v>
      </c>
      <c r="D114" s="20" t="s">
        <v>730</v>
      </c>
      <c r="E114" s="20" t="s">
        <v>66</v>
      </c>
      <c r="F114" s="20" t="s">
        <v>89</v>
      </c>
      <c r="G114" s="20" t="s">
        <v>68</v>
      </c>
      <c r="H114" s="20" t="s">
        <v>731</v>
      </c>
      <c r="I114" s="20" t="s">
        <v>732</v>
      </c>
      <c r="J114" s="20" t="s">
        <v>733</v>
      </c>
      <c r="K114" s="20" t="s">
        <v>734</v>
      </c>
      <c r="L114" s="20" t="s">
        <v>711</v>
      </c>
      <c r="M114" s="21" t="s">
        <v>32</v>
      </c>
      <c r="N114" s="22" t="s">
        <v>716</v>
      </c>
      <c r="O114" s="22" t="s">
        <v>131</v>
      </c>
      <c r="P114" s="22" t="s">
        <v>132</v>
      </c>
      <c r="Q114" s="22"/>
    </row>
    <row r="115" customFormat="false" ht="34.5" hidden="false" customHeight="true" outlineLevel="0" collapsed="false">
      <c r="A115" s="20" t="s">
        <v>735</v>
      </c>
      <c r="B115" s="20" t="s">
        <v>44</v>
      </c>
      <c r="C115" s="20" t="s">
        <v>698</v>
      </c>
      <c r="D115" s="20" t="s">
        <v>736</v>
      </c>
      <c r="E115" s="20" t="s">
        <v>81</v>
      </c>
      <c r="F115" s="20" t="s">
        <v>89</v>
      </c>
      <c r="G115" s="20" t="s">
        <v>68</v>
      </c>
      <c r="H115" s="20" t="s">
        <v>737</v>
      </c>
      <c r="I115" s="20" t="s">
        <v>738</v>
      </c>
      <c r="J115" s="20" t="s">
        <v>739</v>
      </c>
      <c r="K115" s="20" t="s">
        <v>740</v>
      </c>
      <c r="L115" s="20" t="s">
        <v>711</v>
      </c>
      <c r="M115" s="21" t="s">
        <v>32</v>
      </c>
      <c r="N115" s="22" t="s">
        <v>716</v>
      </c>
      <c r="O115" s="22" t="s">
        <v>131</v>
      </c>
      <c r="P115" s="22" t="s">
        <v>132</v>
      </c>
      <c r="Q115" s="22"/>
    </row>
    <row r="116" customFormat="false" ht="34.5" hidden="false" customHeight="true" outlineLevel="0" collapsed="false">
      <c r="A116" s="20" t="s">
        <v>741</v>
      </c>
      <c r="B116" s="20" t="s">
        <v>44</v>
      </c>
      <c r="C116" s="20" t="s">
        <v>698</v>
      </c>
      <c r="D116" s="20" t="s">
        <v>742</v>
      </c>
      <c r="E116" s="20" t="s">
        <v>81</v>
      </c>
      <c r="F116" s="20" t="s">
        <v>89</v>
      </c>
      <c r="G116" s="20" t="s">
        <v>68</v>
      </c>
      <c r="H116" s="20" t="s">
        <v>743</v>
      </c>
      <c r="I116" s="20" t="s">
        <v>744</v>
      </c>
      <c r="J116" s="20" t="s">
        <v>745</v>
      </c>
      <c r="K116" s="20" t="s">
        <v>746</v>
      </c>
      <c r="L116" s="20" t="s">
        <v>747</v>
      </c>
      <c r="M116" s="21" t="s">
        <v>35</v>
      </c>
      <c r="N116" s="22"/>
      <c r="O116" s="22"/>
      <c r="P116" s="22"/>
      <c r="Q116" s="22"/>
    </row>
    <row r="117" customFormat="false" ht="34.5" hidden="false" customHeight="true" outlineLevel="0" collapsed="false">
      <c r="A117" s="20" t="s">
        <v>748</v>
      </c>
      <c r="B117" s="20" t="s">
        <v>44</v>
      </c>
      <c r="C117" s="20" t="s">
        <v>698</v>
      </c>
      <c r="D117" s="20" t="s">
        <v>749</v>
      </c>
      <c r="E117" s="20" t="s">
        <v>66</v>
      </c>
      <c r="F117" s="20" t="s">
        <v>76</v>
      </c>
      <c r="G117" s="20" t="s">
        <v>306</v>
      </c>
      <c r="H117" s="20" t="s">
        <v>750</v>
      </c>
      <c r="I117" s="20" t="s">
        <v>751</v>
      </c>
      <c r="J117" s="20" t="s">
        <v>97</v>
      </c>
      <c r="K117" s="20" t="s">
        <v>752</v>
      </c>
      <c r="L117" s="20" t="s">
        <v>753</v>
      </c>
      <c r="M117" s="21" t="s">
        <v>35</v>
      </c>
      <c r="N117" s="22"/>
      <c r="O117" s="22"/>
      <c r="P117" s="22"/>
      <c r="Q117" s="22"/>
    </row>
    <row r="118" customFormat="false" ht="34.5" hidden="false" customHeight="true" outlineLevel="0" collapsed="false">
      <c r="A118" s="20" t="s">
        <v>754</v>
      </c>
      <c r="B118" s="20" t="s">
        <v>44</v>
      </c>
      <c r="C118" s="20" t="s">
        <v>755</v>
      </c>
      <c r="D118" s="20" t="s">
        <v>756</v>
      </c>
      <c r="E118" s="20" t="s">
        <v>66</v>
      </c>
      <c r="F118" s="20" t="s">
        <v>67</v>
      </c>
      <c r="G118" s="20" t="s">
        <v>68</v>
      </c>
      <c r="H118" s="20" t="s">
        <v>757</v>
      </c>
      <c r="I118" s="20" t="s">
        <v>758</v>
      </c>
      <c r="J118" s="20" t="s">
        <v>759</v>
      </c>
      <c r="K118" s="20" t="s">
        <v>760</v>
      </c>
      <c r="L118" s="20" t="s">
        <v>761</v>
      </c>
      <c r="M118" s="21" t="s">
        <v>32</v>
      </c>
      <c r="N118" s="22" t="s">
        <v>762</v>
      </c>
      <c r="O118" s="22" t="s">
        <v>131</v>
      </c>
      <c r="P118" s="22" t="s">
        <v>132</v>
      </c>
      <c r="Q118" s="22"/>
    </row>
    <row r="119" customFormat="false" ht="34.5" hidden="false" customHeight="true" outlineLevel="0" collapsed="false">
      <c r="A119" s="20" t="s">
        <v>763</v>
      </c>
      <c r="B119" s="20" t="s">
        <v>44</v>
      </c>
      <c r="C119" s="20" t="s">
        <v>755</v>
      </c>
      <c r="D119" s="20" t="s">
        <v>764</v>
      </c>
      <c r="E119" s="20" t="s">
        <v>66</v>
      </c>
      <c r="F119" s="20" t="s">
        <v>89</v>
      </c>
      <c r="G119" s="20" t="s">
        <v>68</v>
      </c>
      <c r="H119" s="20" t="s">
        <v>765</v>
      </c>
      <c r="I119" s="20" t="s">
        <v>766</v>
      </c>
      <c r="J119" s="20" t="s">
        <v>767</v>
      </c>
      <c r="K119" s="20" t="s">
        <v>768</v>
      </c>
      <c r="L119" s="20" t="s">
        <v>761</v>
      </c>
      <c r="M119" s="21" t="s">
        <v>32</v>
      </c>
      <c r="N119" s="22" t="s">
        <v>762</v>
      </c>
      <c r="O119" s="22" t="s">
        <v>131</v>
      </c>
      <c r="P119" s="22" t="s">
        <v>132</v>
      </c>
      <c r="Q119" s="22"/>
    </row>
    <row r="120" customFormat="false" ht="34.5" hidden="false" customHeight="true" outlineLevel="0" collapsed="false">
      <c r="A120" s="20" t="s">
        <v>769</v>
      </c>
      <c r="B120" s="20" t="s">
        <v>44</v>
      </c>
      <c r="C120" s="20" t="s">
        <v>755</v>
      </c>
      <c r="D120" s="20" t="s">
        <v>770</v>
      </c>
      <c r="E120" s="20" t="s">
        <v>118</v>
      </c>
      <c r="F120" s="20" t="s">
        <v>89</v>
      </c>
      <c r="G120" s="20" t="s">
        <v>68</v>
      </c>
      <c r="H120" s="20" t="s">
        <v>771</v>
      </c>
      <c r="I120" s="20" t="s">
        <v>772</v>
      </c>
      <c r="J120" s="20" t="s">
        <v>97</v>
      </c>
      <c r="K120" s="20" t="s">
        <v>773</v>
      </c>
      <c r="L120" s="20" t="s">
        <v>761</v>
      </c>
      <c r="M120" s="21" t="s">
        <v>32</v>
      </c>
      <c r="N120" s="22" t="s">
        <v>762</v>
      </c>
      <c r="O120" s="22" t="s">
        <v>131</v>
      </c>
      <c r="P120" s="22" t="s">
        <v>132</v>
      </c>
      <c r="Q120" s="22"/>
    </row>
    <row r="121" customFormat="false" ht="34.5" hidden="false" customHeight="true" outlineLevel="0" collapsed="false">
      <c r="A121" s="20" t="s">
        <v>774</v>
      </c>
      <c r="B121" s="20" t="s">
        <v>44</v>
      </c>
      <c r="C121" s="20" t="s">
        <v>755</v>
      </c>
      <c r="D121" s="20" t="s">
        <v>775</v>
      </c>
      <c r="E121" s="20" t="s">
        <v>66</v>
      </c>
      <c r="F121" s="20" t="s">
        <v>67</v>
      </c>
      <c r="G121" s="20" t="s">
        <v>68</v>
      </c>
      <c r="H121" s="20" t="s">
        <v>776</v>
      </c>
      <c r="I121" s="20" t="s">
        <v>777</v>
      </c>
      <c r="J121" s="20" t="s">
        <v>97</v>
      </c>
      <c r="K121" s="20" t="s">
        <v>778</v>
      </c>
      <c r="L121" s="20" t="s">
        <v>761</v>
      </c>
      <c r="M121" s="21" t="s">
        <v>32</v>
      </c>
      <c r="N121" s="22" t="s">
        <v>762</v>
      </c>
      <c r="O121" s="22" t="s">
        <v>131</v>
      </c>
      <c r="P121" s="22" t="s">
        <v>132</v>
      </c>
      <c r="Q121" s="22"/>
    </row>
    <row r="122" customFormat="false" ht="34.5" hidden="false" customHeight="true" outlineLevel="0" collapsed="false">
      <c r="A122" s="20" t="s">
        <v>779</v>
      </c>
      <c r="B122" s="20" t="s">
        <v>44</v>
      </c>
      <c r="C122" s="20" t="s">
        <v>755</v>
      </c>
      <c r="D122" s="20" t="s">
        <v>780</v>
      </c>
      <c r="E122" s="20" t="s">
        <v>66</v>
      </c>
      <c r="F122" s="20" t="s">
        <v>67</v>
      </c>
      <c r="G122" s="20" t="s">
        <v>68</v>
      </c>
      <c r="H122" s="20" t="s">
        <v>781</v>
      </c>
      <c r="I122" s="20" t="s">
        <v>782</v>
      </c>
      <c r="J122" s="20" t="s">
        <v>97</v>
      </c>
      <c r="K122" s="20" t="s">
        <v>783</v>
      </c>
      <c r="L122" s="20" t="s">
        <v>761</v>
      </c>
      <c r="M122" s="21" t="s">
        <v>32</v>
      </c>
      <c r="N122" s="22" t="s">
        <v>762</v>
      </c>
      <c r="O122" s="22" t="s">
        <v>131</v>
      </c>
      <c r="P122" s="22" t="s">
        <v>132</v>
      </c>
      <c r="Q122" s="22"/>
    </row>
    <row r="123" customFormat="false" ht="34.5" hidden="false" customHeight="true" outlineLevel="0" collapsed="false">
      <c r="A123" s="20" t="s">
        <v>784</v>
      </c>
      <c r="B123" s="20" t="s">
        <v>44</v>
      </c>
      <c r="C123" s="20" t="s">
        <v>755</v>
      </c>
      <c r="D123" s="20" t="s">
        <v>785</v>
      </c>
      <c r="E123" s="20" t="s">
        <v>66</v>
      </c>
      <c r="F123" s="20" t="s">
        <v>89</v>
      </c>
      <c r="G123" s="20" t="s">
        <v>68</v>
      </c>
      <c r="H123" s="20" t="s">
        <v>786</v>
      </c>
      <c r="I123" s="20" t="s">
        <v>787</v>
      </c>
      <c r="J123" s="20" t="s">
        <v>97</v>
      </c>
      <c r="K123" s="20" t="s">
        <v>788</v>
      </c>
      <c r="L123" s="20" t="s">
        <v>761</v>
      </c>
      <c r="M123" s="21" t="s">
        <v>32</v>
      </c>
      <c r="N123" s="22" t="s">
        <v>762</v>
      </c>
      <c r="O123" s="22" t="s">
        <v>131</v>
      </c>
      <c r="P123" s="22" t="s">
        <v>132</v>
      </c>
      <c r="Q123" s="22"/>
    </row>
    <row r="124" customFormat="false" ht="34.5" hidden="false" customHeight="true" outlineLevel="0" collapsed="false">
      <c r="A124" s="20" t="s">
        <v>789</v>
      </c>
      <c r="B124" s="20" t="s">
        <v>44</v>
      </c>
      <c r="C124" s="20" t="s">
        <v>755</v>
      </c>
      <c r="D124" s="20" t="s">
        <v>790</v>
      </c>
      <c r="E124" s="20" t="s">
        <v>118</v>
      </c>
      <c r="F124" s="20" t="s">
        <v>89</v>
      </c>
      <c r="G124" s="20" t="s">
        <v>68</v>
      </c>
      <c r="H124" s="20" t="s">
        <v>791</v>
      </c>
      <c r="I124" s="20" t="s">
        <v>792</v>
      </c>
      <c r="J124" s="20" t="s">
        <v>793</v>
      </c>
      <c r="K124" s="20" t="s">
        <v>794</v>
      </c>
      <c r="L124" s="20" t="s">
        <v>761</v>
      </c>
      <c r="M124" s="21" t="s">
        <v>32</v>
      </c>
      <c r="N124" s="22" t="s">
        <v>762</v>
      </c>
      <c r="O124" s="22" t="s">
        <v>131</v>
      </c>
      <c r="P124" s="22" t="s">
        <v>132</v>
      </c>
      <c r="Q124" s="22"/>
    </row>
    <row r="125" customFormat="false" ht="34.5" hidden="false" customHeight="true" outlineLevel="0" collapsed="false">
      <c r="A125" s="20" t="s">
        <v>795</v>
      </c>
      <c r="B125" s="20" t="s">
        <v>44</v>
      </c>
      <c r="C125" s="20" t="s">
        <v>755</v>
      </c>
      <c r="D125" s="20" t="s">
        <v>796</v>
      </c>
      <c r="E125" s="20" t="s">
        <v>118</v>
      </c>
      <c r="F125" s="20" t="s">
        <v>89</v>
      </c>
      <c r="G125" s="20" t="s">
        <v>68</v>
      </c>
      <c r="H125" s="20" t="s">
        <v>797</v>
      </c>
      <c r="I125" s="20" t="s">
        <v>798</v>
      </c>
      <c r="J125" s="20" t="s">
        <v>799</v>
      </c>
      <c r="K125" s="20" t="s">
        <v>800</v>
      </c>
      <c r="L125" s="20" t="s">
        <v>761</v>
      </c>
      <c r="M125" s="21" t="s">
        <v>32</v>
      </c>
      <c r="N125" s="22" t="s">
        <v>762</v>
      </c>
      <c r="O125" s="22" t="s">
        <v>131</v>
      </c>
      <c r="P125" s="22" t="s">
        <v>132</v>
      </c>
      <c r="Q125" s="22"/>
    </row>
    <row r="126" customFormat="false" ht="34.5" hidden="false" customHeight="true" outlineLevel="0" collapsed="false">
      <c r="A126" s="20" t="s">
        <v>801</v>
      </c>
      <c r="B126" s="20" t="s">
        <v>44</v>
      </c>
      <c r="C126" s="20" t="s">
        <v>755</v>
      </c>
      <c r="D126" s="20" t="s">
        <v>802</v>
      </c>
      <c r="E126" s="20" t="s">
        <v>118</v>
      </c>
      <c r="F126" s="20" t="s">
        <v>89</v>
      </c>
      <c r="G126" s="20" t="s">
        <v>68</v>
      </c>
      <c r="H126" s="20" t="s">
        <v>803</v>
      </c>
      <c r="I126" s="20" t="s">
        <v>804</v>
      </c>
      <c r="J126" s="20" t="s">
        <v>805</v>
      </c>
      <c r="K126" s="20" t="s">
        <v>806</v>
      </c>
      <c r="L126" s="20" t="s">
        <v>761</v>
      </c>
      <c r="M126" s="21" t="s">
        <v>32</v>
      </c>
      <c r="N126" s="22" t="s">
        <v>762</v>
      </c>
      <c r="O126" s="22" t="s">
        <v>131</v>
      </c>
      <c r="P126" s="22" t="s">
        <v>132</v>
      </c>
      <c r="Q126" s="22"/>
    </row>
    <row r="127" customFormat="false" ht="34.5" hidden="false" customHeight="true" outlineLevel="0" collapsed="false">
      <c r="A127" s="20" t="s">
        <v>807</v>
      </c>
      <c r="B127" s="20" t="s">
        <v>44</v>
      </c>
      <c r="C127" s="20" t="s">
        <v>808</v>
      </c>
      <c r="D127" s="20" t="s">
        <v>809</v>
      </c>
      <c r="E127" s="20" t="s">
        <v>66</v>
      </c>
      <c r="F127" s="20" t="s">
        <v>89</v>
      </c>
      <c r="G127" s="20" t="s">
        <v>810</v>
      </c>
      <c r="H127" s="20" t="s">
        <v>811</v>
      </c>
      <c r="I127" s="20" t="s">
        <v>812</v>
      </c>
      <c r="J127" s="20" t="s">
        <v>97</v>
      </c>
      <c r="K127" s="20" t="s">
        <v>813</v>
      </c>
      <c r="L127" s="20" t="s">
        <v>814</v>
      </c>
      <c r="M127" s="21" t="s">
        <v>35</v>
      </c>
      <c r="N127" s="22"/>
      <c r="O127" s="22"/>
      <c r="P127" s="22"/>
      <c r="Q127" s="22"/>
    </row>
    <row r="128" customFormat="false" ht="34.5" hidden="false" customHeight="true" outlineLevel="0" collapsed="false">
      <c r="A128" s="20" t="s">
        <v>815</v>
      </c>
      <c r="B128" s="20" t="s">
        <v>44</v>
      </c>
      <c r="C128" s="20" t="s">
        <v>808</v>
      </c>
      <c r="D128" s="20" t="s">
        <v>816</v>
      </c>
      <c r="E128" s="20" t="s">
        <v>118</v>
      </c>
      <c r="F128" s="20" t="s">
        <v>76</v>
      </c>
      <c r="G128" s="20" t="s">
        <v>810</v>
      </c>
      <c r="H128" s="20" t="s">
        <v>817</v>
      </c>
      <c r="I128" s="20" t="s">
        <v>818</v>
      </c>
      <c r="J128" s="20" t="s">
        <v>819</v>
      </c>
      <c r="K128" s="20" t="s">
        <v>820</v>
      </c>
      <c r="L128" s="20" t="s">
        <v>814</v>
      </c>
      <c r="M128" s="21" t="s">
        <v>35</v>
      </c>
      <c r="N128" s="22"/>
      <c r="O128" s="22"/>
      <c r="P128" s="22"/>
      <c r="Q128" s="22"/>
    </row>
    <row r="129" customFormat="false" ht="34.5" hidden="false" customHeight="true" outlineLevel="0" collapsed="false">
      <c r="A129" s="20" t="s">
        <v>821</v>
      </c>
      <c r="B129" s="20" t="s">
        <v>44</v>
      </c>
      <c r="C129" s="20" t="s">
        <v>808</v>
      </c>
      <c r="D129" s="20" t="s">
        <v>822</v>
      </c>
      <c r="E129" s="20" t="s">
        <v>118</v>
      </c>
      <c r="F129" s="20" t="s">
        <v>76</v>
      </c>
      <c r="G129" s="20" t="s">
        <v>810</v>
      </c>
      <c r="H129" s="20" t="s">
        <v>803</v>
      </c>
      <c r="I129" s="20" t="s">
        <v>823</v>
      </c>
      <c r="J129" s="20" t="s">
        <v>97</v>
      </c>
      <c r="K129" s="20" t="s">
        <v>824</v>
      </c>
      <c r="L129" s="20" t="s">
        <v>814</v>
      </c>
      <c r="M129" s="21" t="s">
        <v>35</v>
      </c>
      <c r="N129" s="22"/>
      <c r="O129" s="22"/>
      <c r="P129" s="22"/>
      <c r="Q129" s="22"/>
    </row>
    <row r="130" customFormat="false" ht="34.5" hidden="false" customHeight="true" outlineLevel="0" collapsed="false">
      <c r="A130" s="20" t="s">
        <v>825</v>
      </c>
      <c r="B130" s="20" t="s">
        <v>44</v>
      </c>
      <c r="C130" s="20" t="s">
        <v>808</v>
      </c>
      <c r="D130" s="20" t="s">
        <v>826</v>
      </c>
      <c r="E130" s="20" t="s">
        <v>118</v>
      </c>
      <c r="F130" s="20" t="s">
        <v>119</v>
      </c>
      <c r="G130" s="20" t="s">
        <v>810</v>
      </c>
      <c r="H130" s="20" t="s">
        <v>827</v>
      </c>
      <c r="I130" s="20" t="s">
        <v>828</v>
      </c>
      <c r="J130" s="20" t="s">
        <v>97</v>
      </c>
      <c r="K130" s="20" t="s">
        <v>829</v>
      </c>
      <c r="L130" s="20" t="s">
        <v>814</v>
      </c>
      <c r="M130" s="21" t="s">
        <v>35</v>
      </c>
      <c r="N130" s="22"/>
      <c r="O130" s="22"/>
      <c r="P130" s="22"/>
      <c r="Q130" s="22"/>
    </row>
    <row r="131" customFormat="false" ht="45.75" hidden="false" customHeight="true" outlineLevel="0" collapsed="false">
      <c r="A131" s="20" t="s">
        <v>830</v>
      </c>
      <c r="B131" s="20" t="s">
        <v>44</v>
      </c>
      <c r="C131" s="20" t="s">
        <v>831</v>
      </c>
      <c r="D131" s="20" t="s">
        <v>832</v>
      </c>
      <c r="E131" s="20" t="s">
        <v>66</v>
      </c>
      <c r="F131" s="20" t="s">
        <v>67</v>
      </c>
      <c r="G131" s="20" t="s">
        <v>68</v>
      </c>
      <c r="H131" s="20" t="s">
        <v>833</v>
      </c>
      <c r="I131" s="20" t="s">
        <v>834</v>
      </c>
      <c r="J131" s="20" t="s">
        <v>835</v>
      </c>
      <c r="K131" s="20" t="s">
        <v>836</v>
      </c>
      <c r="L131" s="20" t="s">
        <v>837</v>
      </c>
      <c r="M131" s="21" t="s">
        <v>35</v>
      </c>
      <c r="N131" s="22"/>
      <c r="O131" s="22"/>
      <c r="P131" s="22"/>
      <c r="Q131" s="22"/>
    </row>
    <row r="132" customFormat="false" ht="34.5" hidden="false" customHeight="true" outlineLevel="0" collapsed="false">
      <c r="A132" s="20" t="s">
        <v>838</v>
      </c>
      <c r="B132" s="20" t="s">
        <v>44</v>
      </c>
      <c r="C132" s="20" t="s">
        <v>831</v>
      </c>
      <c r="D132" s="20" t="s">
        <v>839</v>
      </c>
      <c r="E132" s="20" t="s">
        <v>96</v>
      </c>
      <c r="F132" s="20" t="s">
        <v>89</v>
      </c>
      <c r="G132" s="20" t="s">
        <v>68</v>
      </c>
      <c r="H132" s="20" t="s">
        <v>97</v>
      </c>
      <c r="I132" s="20" t="s">
        <v>840</v>
      </c>
      <c r="J132" s="20" t="s">
        <v>97</v>
      </c>
      <c r="K132" s="20" t="s">
        <v>841</v>
      </c>
      <c r="L132" s="20" t="s">
        <v>837</v>
      </c>
      <c r="M132" s="21" t="s">
        <v>35</v>
      </c>
      <c r="N132" s="22"/>
      <c r="O132" s="22"/>
      <c r="P132" s="22"/>
      <c r="Q132" s="22"/>
    </row>
    <row r="133" customFormat="false" ht="34.5" hidden="false" customHeight="true" outlineLevel="0" collapsed="false">
      <c r="A133" s="20" t="s">
        <v>842</v>
      </c>
      <c r="B133" s="20" t="s">
        <v>44</v>
      </c>
      <c r="C133" s="20" t="s">
        <v>831</v>
      </c>
      <c r="D133" s="20" t="s">
        <v>843</v>
      </c>
      <c r="E133" s="20" t="s">
        <v>66</v>
      </c>
      <c r="F133" s="20" t="s">
        <v>89</v>
      </c>
      <c r="G133" s="20" t="s">
        <v>442</v>
      </c>
      <c r="H133" s="20" t="s">
        <v>844</v>
      </c>
      <c r="I133" s="20" t="s">
        <v>845</v>
      </c>
      <c r="J133" s="20" t="s">
        <v>97</v>
      </c>
      <c r="K133" s="20" t="s">
        <v>846</v>
      </c>
      <c r="L133" s="20" t="s">
        <v>837</v>
      </c>
      <c r="M133" s="21" t="s">
        <v>35</v>
      </c>
      <c r="N133" s="22"/>
      <c r="O133" s="22"/>
      <c r="P133" s="22"/>
      <c r="Q133" s="22"/>
    </row>
    <row r="134" customFormat="false" ht="34.5" hidden="false" customHeight="true" outlineLevel="0" collapsed="false">
      <c r="A134" s="20" t="s">
        <v>847</v>
      </c>
      <c r="B134" s="20" t="s">
        <v>44</v>
      </c>
      <c r="C134" s="20" t="s">
        <v>831</v>
      </c>
      <c r="D134" s="20" t="s">
        <v>848</v>
      </c>
      <c r="E134" s="20" t="s">
        <v>66</v>
      </c>
      <c r="F134" s="20" t="s">
        <v>76</v>
      </c>
      <c r="G134" s="20" t="s">
        <v>442</v>
      </c>
      <c r="H134" s="20" t="s">
        <v>849</v>
      </c>
      <c r="I134" s="20" t="s">
        <v>850</v>
      </c>
      <c r="J134" s="20" t="s">
        <v>97</v>
      </c>
      <c r="K134" s="20" t="s">
        <v>851</v>
      </c>
      <c r="L134" s="20" t="s">
        <v>837</v>
      </c>
      <c r="M134" s="21" t="s">
        <v>35</v>
      </c>
      <c r="N134" s="22"/>
      <c r="O134" s="22"/>
      <c r="P134" s="22"/>
      <c r="Q134" s="22"/>
    </row>
    <row r="135" customFormat="false" ht="34.5" hidden="false" customHeight="true" outlineLevel="0" collapsed="false">
      <c r="A135" s="20" t="s">
        <v>852</v>
      </c>
      <c r="B135" s="20" t="s">
        <v>44</v>
      </c>
      <c r="C135" s="20" t="s">
        <v>831</v>
      </c>
      <c r="D135" s="20" t="s">
        <v>853</v>
      </c>
      <c r="E135" s="20" t="s">
        <v>118</v>
      </c>
      <c r="F135" s="20" t="s">
        <v>76</v>
      </c>
      <c r="G135" s="20" t="s">
        <v>68</v>
      </c>
      <c r="H135" s="20" t="s">
        <v>803</v>
      </c>
      <c r="I135" s="20" t="s">
        <v>854</v>
      </c>
      <c r="J135" s="20" t="s">
        <v>97</v>
      </c>
      <c r="K135" s="20" t="s">
        <v>855</v>
      </c>
      <c r="L135" s="20" t="s">
        <v>837</v>
      </c>
      <c r="M135" s="21" t="s">
        <v>35</v>
      </c>
      <c r="N135" s="22"/>
      <c r="O135" s="22"/>
      <c r="P135" s="22"/>
      <c r="Q135" s="22"/>
    </row>
    <row r="136" customFormat="false" ht="34.5" hidden="false" customHeight="true" outlineLevel="0" collapsed="false">
      <c r="A136" s="20" t="s">
        <v>856</v>
      </c>
      <c r="B136" s="20" t="s">
        <v>44</v>
      </c>
      <c r="C136" s="20" t="s">
        <v>857</v>
      </c>
      <c r="D136" s="20" t="s">
        <v>858</v>
      </c>
      <c r="E136" s="20" t="s">
        <v>66</v>
      </c>
      <c r="F136" s="20" t="s">
        <v>89</v>
      </c>
      <c r="G136" s="20" t="s">
        <v>442</v>
      </c>
      <c r="H136" s="20" t="s">
        <v>859</v>
      </c>
      <c r="I136" s="20" t="s">
        <v>860</v>
      </c>
      <c r="J136" s="20" t="s">
        <v>861</v>
      </c>
      <c r="K136" s="20" t="s">
        <v>862</v>
      </c>
      <c r="L136" s="20" t="s">
        <v>863</v>
      </c>
      <c r="M136" s="21" t="s">
        <v>35</v>
      </c>
      <c r="N136" s="22"/>
      <c r="O136" s="22"/>
      <c r="P136" s="22"/>
      <c r="Q136" s="22"/>
    </row>
    <row r="137" customFormat="false" ht="34.5" hidden="false" customHeight="true" outlineLevel="0" collapsed="false">
      <c r="A137" s="20" t="s">
        <v>864</v>
      </c>
      <c r="B137" s="20" t="s">
        <v>44</v>
      </c>
      <c r="C137" s="20" t="s">
        <v>857</v>
      </c>
      <c r="D137" s="20" t="s">
        <v>865</v>
      </c>
      <c r="E137" s="20" t="s">
        <v>81</v>
      </c>
      <c r="F137" s="20" t="s">
        <v>89</v>
      </c>
      <c r="G137" s="20" t="s">
        <v>542</v>
      </c>
      <c r="H137" s="20" t="s">
        <v>866</v>
      </c>
      <c r="I137" s="20" t="s">
        <v>867</v>
      </c>
      <c r="J137" s="20" t="s">
        <v>97</v>
      </c>
      <c r="K137" s="20" t="s">
        <v>868</v>
      </c>
      <c r="L137" s="20" t="s">
        <v>546</v>
      </c>
      <c r="M137" s="21" t="s">
        <v>35</v>
      </c>
      <c r="N137" s="22"/>
      <c r="O137" s="22"/>
      <c r="P137" s="22"/>
      <c r="Q137" s="22"/>
    </row>
    <row r="138" customFormat="false" ht="34.5" hidden="false" customHeight="true" outlineLevel="0" collapsed="false">
      <c r="A138" s="20" t="s">
        <v>869</v>
      </c>
      <c r="B138" s="20" t="s">
        <v>44</v>
      </c>
      <c r="C138" s="20" t="s">
        <v>870</v>
      </c>
      <c r="D138" s="20" t="s">
        <v>871</v>
      </c>
      <c r="E138" s="20" t="s">
        <v>66</v>
      </c>
      <c r="F138" s="20" t="s">
        <v>89</v>
      </c>
      <c r="G138" s="20" t="s">
        <v>306</v>
      </c>
      <c r="H138" s="20" t="s">
        <v>872</v>
      </c>
      <c r="I138" s="20" t="s">
        <v>873</v>
      </c>
      <c r="J138" s="20" t="s">
        <v>874</v>
      </c>
      <c r="K138" s="20" t="s">
        <v>875</v>
      </c>
      <c r="L138" s="20" t="s">
        <v>876</v>
      </c>
      <c r="M138" s="21" t="s">
        <v>35</v>
      </c>
      <c r="N138" s="22"/>
      <c r="O138" s="22"/>
      <c r="P138" s="22"/>
      <c r="Q138" s="22"/>
    </row>
    <row r="139" customFormat="false" ht="34.5" hidden="false" customHeight="true" outlineLevel="0" collapsed="false">
      <c r="A139" s="20" t="s">
        <v>877</v>
      </c>
      <c r="B139" s="20" t="s">
        <v>44</v>
      </c>
      <c r="C139" s="20" t="s">
        <v>870</v>
      </c>
      <c r="D139" s="20" t="s">
        <v>878</v>
      </c>
      <c r="E139" s="20" t="s">
        <v>81</v>
      </c>
      <c r="F139" s="20" t="s">
        <v>89</v>
      </c>
      <c r="G139" s="20" t="s">
        <v>306</v>
      </c>
      <c r="H139" s="20" t="s">
        <v>879</v>
      </c>
      <c r="I139" s="20" t="s">
        <v>880</v>
      </c>
      <c r="J139" s="20" t="s">
        <v>97</v>
      </c>
      <c r="K139" s="20" t="s">
        <v>881</v>
      </c>
      <c r="L139" s="20" t="s">
        <v>876</v>
      </c>
      <c r="M139" s="21" t="s">
        <v>35</v>
      </c>
      <c r="N139" s="22"/>
      <c r="O139" s="22"/>
      <c r="P139" s="22"/>
      <c r="Q139" s="22"/>
    </row>
    <row r="140" customFormat="false" ht="34.5" hidden="false" customHeight="true" outlineLevel="0" collapsed="false">
      <c r="A140" s="20" t="s">
        <v>882</v>
      </c>
      <c r="B140" s="20" t="s">
        <v>44</v>
      </c>
      <c r="C140" s="20" t="s">
        <v>870</v>
      </c>
      <c r="D140" s="20" t="s">
        <v>883</v>
      </c>
      <c r="E140" s="20" t="s">
        <v>81</v>
      </c>
      <c r="F140" s="20" t="s">
        <v>67</v>
      </c>
      <c r="G140" s="20" t="s">
        <v>306</v>
      </c>
      <c r="H140" s="20" t="s">
        <v>884</v>
      </c>
      <c r="I140" s="20" t="s">
        <v>885</v>
      </c>
      <c r="J140" s="20" t="s">
        <v>97</v>
      </c>
      <c r="K140" s="20" t="s">
        <v>886</v>
      </c>
      <c r="L140" s="20" t="s">
        <v>876</v>
      </c>
      <c r="M140" s="21" t="s">
        <v>35</v>
      </c>
      <c r="N140" s="22"/>
      <c r="O140" s="22"/>
      <c r="P140" s="22"/>
      <c r="Q140" s="22"/>
    </row>
    <row r="141" customFormat="false" ht="34.5" hidden="false" customHeight="true" outlineLevel="0" collapsed="false">
      <c r="A141" s="20" t="s">
        <v>887</v>
      </c>
      <c r="B141" s="20" t="s">
        <v>44</v>
      </c>
      <c r="C141" s="20" t="s">
        <v>870</v>
      </c>
      <c r="D141" s="20" t="s">
        <v>888</v>
      </c>
      <c r="E141" s="20" t="s">
        <v>161</v>
      </c>
      <c r="F141" s="20" t="s">
        <v>89</v>
      </c>
      <c r="G141" s="20" t="s">
        <v>442</v>
      </c>
      <c r="H141" s="20" t="s">
        <v>889</v>
      </c>
      <c r="I141" s="20" t="s">
        <v>890</v>
      </c>
      <c r="J141" s="20" t="s">
        <v>97</v>
      </c>
      <c r="K141" s="20" t="s">
        <v>891</v>
      </c>
      <c r="L141" s="20" t="s">
        <v>876</v>
      </c>
      <c r="M141" s="21" t="s">
        <v>35</v>
      </c>
      <c r="N141" s="22"/>
      <c r="O141" s="22"/>
      <c r="P141" s="22"/>
      <c r="Q141" s="22"/>
    </row>
    <row r="142" customFormat="false" ht="34.5" hidden="false" customHeight="true" outlineLevel="0" collapsed="false">
      <c r="A142" s="20" t="s">
        <v>892</v>
      </c>
      <c r="B142" s="20" t="s">
        <v>44</v>
      </c>
      <c r="C142" s="20" t="s">
        <v>870</v>
      </c>
      <c r="D142" s="20" t="s">
        <v>893</v>
      </c>
      <c r="E142" s="20" t="s">
        <v>66</v>
      </c>
      <c r="F142" s="20" t="s">
        <v>76</v>
      </c>
      <c r="G142" s="20" t="s">
        <v>810</v>
      </c>
      <c r="H142" s="20" t="s">
        <v>894</v>
      </c>
      <c r="I142" s="20" t="s">
        <v>895</v>
      </c>
      <c r="J142" s="20" t="s">
        <v>97</v>
      </c>
      <c r="K142" s="20" t="s">
        <v>896</v>
      </c>
      <c r="L142" s="20" t="s">
        <v>814</v>
      </c>
      <c r="M142" s="21" t="s">
        <v>35</v>
      </c>
      <c r="N142" s="22"/>
      <c r="O142" s="22"/>
      <c r="P142" s="22"/>
      <c r="Q142" s="22"/>
    </row>
    <row r="143" customFormat="false" ht="34.5" hidden="false" customHeight="true" outlineLevel="0" collapsed="false">
      <c r="A143" s="20" t="s">
        <v>897</v>
      </c>
      <c r="B143" s="20" t="s">
        <v>44</v>
      </c>
      <c r="C143" s="20" t="s">
        <v>898</v>
      </c>
      <c r="D143" s="20" t="s">
        <v>899</v>
      </c>
      <c r="E143" s="20" t="s">
        <v>66</v>
      </c>
      <c r="F143" s="20" t="s">
        <v>89</v>
      </c>
      <c r="G143" s="20" t="s">
        <v>306</v>
      </c>
      <c r="H143" s="20" t="s">
        <v>900</v>
      </c>
      <c r="I143" s="20" t="s">
        <v>901</v>
      </c>
      <c r="J143" s="20" t="s">
        <v>97</v>
      </c>
      <c r="K143" s="20" t="s">
        <v>902</v>
      </c>
      <c r="L143" s="20" t="s">
        <v>903</v>
      </c>
      <c r="M143" s="21" t="s">
        <v>35</v>
      </c>
      <c r="N143" s="22"/>
      <c r="O143" s="22"/>
      <c r="P143" s="22"/>
      <c r="Q143" s="22"/>
    </row>
    <row r="144" customFormat="false" ht="15" hidden="false" customHeight="true" outlineLevel="0" collapsed="false">
      <c r="A144" s="20" t="s">
        <v>904</v>
      </c>
      <c r="B144" s="20" t="s">
        <v>44</v>
      </c>
      <c r="C144" s="20" t="s">
        <v>898</v>
      </c>
      <c r="D144" s="20" t="s">
        <v>905</v>
      </c>
      <c r="E144" s="20" t="s">
        <v>161</v>
      </c>
      <c r="F144" s="20" t="s">
        <v>89</v>
      </c>
      <c r="G144" s="20" t="s">
        <v>68</v>
      </c>
      <c r="H144" s="20" t="s">
        <v>97</v>
      </c>
      <c r="I144" s="20" t="s">
        <v>906</v>
      </c>
      <c r="J144" s="20" t="s">
        <v>97</v>
      </c>
      <c r="K144" s="20" t="s">
        <v>907</v>
      </c>
      <c r="L144" s="20" t="s">
        <v>908</v>
      </c>
      <c r="M144" s="21" t="s">
        <v>35</v>
      </c>
      <c r="N144" s="22"/>
      <c r="O144" s="22"/>
      <c r="P144" s="22"/>
      <c r="Q144" s="22"/>
    </row>
    <row r="145" customFormat="false" ht="34.5" hidden="false" customHeight="true" outlineLevel="0" collapsed="false">
      <c r="A145" s="20" t="s">
        <v>909</v>
      </c>
      <c r="B145" s="20" t="s">
        <v>44</v>
      </c>
      <c r="C145" s="20" t="s">
        <v>910</v>
      </c>
      <c r="D145" s="20" t="s">
        <v>911</v>
      </c>
      <c r="E145" s="20" t="s">
        <v>66</v>
      </c>
      <c r="F145" s="20" t="s">
        <v>76</v>
      </c>
      <c r="G145" s="20" t="s">
        <v>306</v>
      </c>
      <c r="H145" s="20" t="s">
        <v>912</v>
      </c>
      <c r="I145" s="20" t="s">
        <v>913</v>
      </c>
      <c r="J145" s="20" t="s">
        <v>914</v>
      </c>
      <c r="K145" s="20" t="s">
        <v>915</v>
      </c>
      <c r="L145" s="20" t="s">
        <v>916</v>
      </c>
      <c r="M145" s="21" t="s">
        <v>35</v>
      </c>
      <c r="N145" s="22"/>
      <c r="O145" s="22"/>
      <c r="P145" s="22"/>
      <c r="Q145" s="22"/>
    </row>
    <row r="146" customFormat="false" ht="34.5" hidden="false" customHeight="true" outlineLevel="0" collapsed="false">
      <c r="A146" s="20" t="s">
        <v>917</v>
      </c>
      <c r="B146" s="20" t="s">
        <v>44</v>
      </c>
      <c r="C146" s="20" t="s">
        <v>910</v>
      </c>
      <c r="D146" s="20" t="s">
        <v>918</v>
      </c>
      <c r="E146" s="20" t="s">
        <v>81</v>
      </c>
      <c r="F146" s="20" t="s">
        <v>76</v>
      </c>
      <c r="G146" s="20" t="s">
        <v>306</v>
      </c>
      <c r="H146" s="20" t="s">
        <v>97</v>
      </c>
      <c r="I146" s="20" t="s">
        <v>919</v>
      </c>
      <c r="J146" s="20" t="s">
        <v>97</v>
      </c>
      <c r="K146" s="20" t="s">
        <v>920</v>
      </c>
      <c r="L146" s="20" t="s">
        <v>916</v>
      </c>
      <c r="M146" s="21" t="s">
        <v>35</v>
      </c>
      <c r="N146" s="22"/>
      <c r="O146" s="22"/>
      <c r="P146" s="22"/>
      <c r="Q146" s="22"/>
    </row>
    <row r="147" customFormat="false" ht="34.5" hidden="false" customHeight="true" outlineLevel="0" collapsed="false">
      <c r="A147" s="20" t="s">
        <v>921</v>
      </c>
      <c r="B147" s="20" t="s">
        <v>44</v>
      </c>
      <c r="C147" s="20" t="s">
        <v>922</v>
      </c>
      <c r="D147" s="20" t="s">
        <v>923</v>
      </c>
      <c r="E147" s="20" t="s">
        <v>66</v>
      </c>
      <c r="F147" s="20" t="s">
        <v>76</v>
      </c>
      <c r="G147" s="20" t="s">
        <v>306</v>
      </c>
      <c r="H147" s="20" t="s">
        <v>924</v>
      </c>
      <c r="I147" s="20" t="s">
        <v>925</v>
      </c>
      <c r="J147" s="20" t="s">
        <v>97</v>
      </c>
      <c r="K147" s="20" t="s">
        <v>926</v>
      </c>
      <c r="L147" s="20" t="s">
        <v>927</v>
      </c>
      <c r="M147" s="21" t="s">
        <v>35</v>
      </c>
      <c r="N147" s="22"/>
      <c r="O147" s="22"/>
      <c r="P147" s="22"/>
      <c r="Q147" s="22"/>
    </row>
    <row r="148" customFormat="false" ht="34.5" hidden="false" customHeight="true" outlineLevel="0" collapsed="false">
      <c r="A148" s="20" t="s">
        <v>928</v>
      </c>
      <c r="B148" s="20" t="s">
        <v>44</v>
      </c>
      <c r="C148" s="20" t="s">
        <v>922</v>
      </c>
      <c r="D148" s="20" t="s">
        <v>929</v>
      </c>
      <c r="E148" s="20" t="s">
        <v>161</v>
      </c>
      <c r="F148" s="20" t="s">
        <v>89</v>
      </c>
      <c r="G148" s="20" t="s">
        <v>442</v>
      </c>
      <c r="H148" s="20" t="s">
        <v>930</v>
      </c>
      <c r="I148" s="20" t="s">
        <v>931</v>
      </c>
      <c r="J148" s="20" t="s">
        <v>97</v>
      </c>
      <c r="K148" s="20" t="s">
        <v>932</v>
      </c>
      <c r="L148" s="20" t="s">
        <v>933</v>
      </c>
      <c r="M148" s="21" t="s">
        <v>35</v>
      </c>
      <c r="N148" s="22"/>
      <c r="O148" s="22"/>
      <c r="P148" s="22"/>
      <c r="Q148" s="22"/>
    </row>
    <row r="149" customFormat="false" ht="34.5" hidden="false" customHeight="true" outlineLevel="0" collapsed="false">
      <c r="A149" s="20" t="s">
        <v>934</v>
      </c>
      <c r="B149" s="20" t="s">
        <v>45</v>
      </c>
      <c r="C149" s="20" t="s">
        <v>935</v>
      </c>
      <c r="D149" s="20" t="s">
        <v>936</v>
      </c>
      <c r="E149" s="20" t="s">
        <v>66</v>
      </c>
      <c r="F149" s="20" t="s">
        <v>67</v>
      </c>
      <c r="G149" s="20" t="s">
        <v>68</v>
      </c>
      <c r="H149" s="20" t="s">
        <v>937</v>
      </c>
      <c r="I149" s="20" t="s">
        <v>938</v>
      </c>
      <c r="J149" s="20" t="s">
        <v>939</v>
      </c>
      <c r="K149" s="20" t="s">
        <v>940</v>
      </c>
      <c r="L149" s="20" t="s">
        <v>941</v>
      </c>
      <c r="M149" s="21" t="s">
        <v>35</v>
      </c>
      <c r="N149" s="22"/>
      <c r="O149" s="22"/>
      <c r="P149" s="22"/>
      <c r="Q149" s="22"/>
    </row>
    <row r="150" customFormat="false" ht="34.5" hidden="false" customHeight="true" outlineLevel="0" collapsed="false">
      <c r="A150" s="20" t="s">
        <v>942</v>
      </c>
      <c r="B150" s="20" t="s">
        <v>45</v>
      </c>
      <c r="C150" s="20" t="s">
        <v>935</v>
      </c>
      <c r="D150" s="20" t="s">
        <v>943</v>
      </c>
      <c r="E150" s="20" t="s">
        <v>96</v>
      </c>
      <c r="F150" s="20" t="s">
        <v>89</v>
      </c>
      <c r="G150" s="20" t="s">
        <v>68</v>
      </c>
      <c r="H150" s="20" t="s">
        <v>97</v>
      </c>
      <c r="I150" s="20" t="s">
        <v>944</v>
      </c>
      <c r="J150" s="20" t="s">
        <v>97</v>
      </c>
      <c r="K150" s="20" t="s">
        <v>945</v>
      </c>
      <c r="L150" s="20" t="s">
        <v>946</v>
      </c>
      <c r="M150" s="21" t="s">
        <v>32</v>
      </c>
      <c r="N150" s="22" t="s">
        <v>947</v>
      </c>
      <c r="O150" s="22" t="s">
        <v>131</v>
      </c>
      <c r="P150" s="22" t="s">
        <v>132</v>
      </c>
      <c r="Q150" s="22"/>
    </row>
    <row r="151" customFormat="false" ht="34.5" hidden="false" customHeight="true" outlineLevel="0" collapsed="false">
      <c r="A151" s="20" t="s">
        <v>948</v>
      </c>
      <c r="B151" s="20" t="s">
        <v>45</v>
      </c>
      <c r="C151" s="20" t="s">
        <v>935</v>
      </c>
      <c r="D151" s="20" t="s">
        <v>949</v>
      </c>
      <c r="E151" s="20" t="s">
        <v>215</v>
      </c>
      <c r="F151" s="20" t="s">
        <v>76</v>
      </c>
      <c r="G151" s="20" t="s">
        <v>68</v>
      </c>
      <c r="H151" s="20" t="s">
        <v>97</v>
      </c>
      <c r="I151" s="20" t="s">
        <v>950</v>
      </c>
      <c r="J151" s="20" t="s">
        <v>951</v>
      </c>
      <c r="K151" s="20" t="s">
        <v>952</v>
      </c>
      <c r="L151" s="20" t="s">
        <v>946</v>
      </c>
      <c r="M151" s="21" t="s">
        <v>32</v>
      </c>
      <c r="N151" s="22" t="s">
        <v>953</v>
      </c>
      <c r="O151" s="22" t="s">
        <v>131</v>
      </c>
      <c r="P151" s="22" t="s">
        <v>132</v>
      </c>
      <c r="Q151" s="22"/>
    </row>
    <row r="152" customFormat="false" ht="34.5" hidden="false" customHeight="true" outlineLevel="0" collapsed="false">
      <c r="A152" s="20" t="s">
        <v>954</v>
      </c>
      <c r="B152" s="20" t="s">
        <v>45</v>
      </c>
      <c r="C152" s="20" t="s">
        <v>935</v>
      </c>
      <c r="D152" s="20" t="s">
        <v>955</v>
      </c>
      <c r="E152" s="20" t="s">
        <v>81</v>
      </c>
      <c r="F152" s="20" t="s">
        <v>89</v>
      </c>
      <c r="G152" s="20" t="s">
        <v>68</v>
      </c>
      <c r="H152" s="20" t="s">
        <v>956</v>
      </c>
      <c r="I152" s="20" t="s">
        <v>957</v>
      </c>
      <c r="J152" s="20" t="s">
        <v>958</v>
      </c>
      <c r="K152" s="20" t="s">
        <v>959</v>
      </c>
      <c r="L152" s="20" t="s">
        <v>941</v>
      </c>
      <c r="M152" s="21" t="s">
        <v>35</v>
      </c>
      <c r="N152" s="22"/>
      <c r="O152" s="22"/>
      <c r="P152" s="22"/>
      <c r="Q152" s="22"/>
    </row>
    <row r="153" customFormat="false" ht="34.5" hidden="false" customHeight="true" outlineLevel="0" collapsed="false">
      <c r="A153" s="20" t="s">
        <v>960</v>
      </c>
      <c r="B153" s="20" t="s">
        <v>45</v>
      </c>
      <c r="C153" s="20" t="s">
        <v>935</v>
      </c>
      <c r="D153" s="20" t="s">
        <v>961</v>
      </c>
      <c r="E153" s="20" t="s">
        <v>118</v>
      </c>
      <c r="F153" s="20" t="s">
        <v>76</v>
      </c>
      <c r="G153" s="20" t="s">
        <v>68</v>
      </c>
      <c r="H153" s="20" t="s">
        <v>962</v>
      </c>
      <c r="I153" s="20" t="s">
        <v>963</v>
      </c>
      <c r="J153" s="20" t="s">
        <v>964</v>
      </c>
      <c r="K153" s="20" t="s">
        <v>965</v>
      </c>
      <c r="L153" s="20" t="s">
        <v>946</v>
      </c>
      <c r="M153" s="21" t="s">
        <v>32</v>
      </c>
      <c r="N153" s="22" t="s">
        <v>130</v>
      </c>
      <c r="O153" s="22" t="s">
        <v>131</v>
      </c>
      <c r="P153" s="22" t="s">
        <v>132</v>
      </c>
      <c r="Q153" s="22"/>
    </row>
    <row r="154" customFormat="false" ht="34.5" hidden="false" customHeight="true" outlineLevel="0" collapsed="false">
      <c r="A154" s="20" t="s">
        <v>966</v>
      </c>
      <c r="B154" s="20" t="s">
        <v>45</v>
      </c>
      <c r="C154" s="20" t="s">
        <v>935</v>
      </c>
      <c r="D154" s="20" t="s">
        <v>967</v>
      </c>
      <c r="E154" s="20" t="s">
        <v>81</v>
      </c>
      <c r="F154" s="20" t="s">
        <v>89</v>
      </c>
      <c r="G154" s="20" t="s">
        <v>68</v>
      </c>
      <c r="H154" s="20" t="s">
        <v>968</v>
      </c>
      <c r="I154" s="20" t="s">
        <v>969</v>
      </c>
      <c r="J154" s="20" t="s">
        <v>970</v>
      </c>
      <c r="K154" s="20" t="s">
        <v>971</v>
      </c>
      <c r="L154" s="20" t="s">
        <v>941</v>
      </c>
      <c r="M154" s="21" t="s">
        <v>35</v>
      </c>
      <c r="N154" s="22"/>
      <c r="O154" s="22"/>
      <c r="P154" s="22"/>
      <c r="Q154" s="22"/>
    </row>
    <row r="155" customFormat="false" ht="34.5" hidden="false" customHeight="true" outlineLevel="0" collapsed="false">
      <c r="A155" s="20" t="s">
        <v>972</v>
      </c>
      <c r="B155" s="20" t="s">
        <v>45</v>
      </c>
      <c r="C155" s="20" t="s">
        <v>935</v>
      </c>
      <c r="D155" s="20" t="s">
        <v>973</v>
      </c>
      <c r="E155" s="20" t="s">
        <v>81</v>
      </c>
      <c r="F155" s="20" t="s">
        <v>89</v>
      </c>
      <c r="G155" s="20" t="s">
        <v>68</v>
      </c>
      <c r="H155" s="20" t="s">
        <v>974</v>
      </c>
      <c r="I155" s="20" t="s">
        <v>975</v>
      </c>
      <c r="J155" s="20" t="s">
        <v>976</v>
      </c>
      <c r="K155" s="20" t="s">
        <v>977</v>
      </c>
      <c r="L155" s="20" t="s">
        <v>941</v>
      </c>
      <c r="M155" s="21" t="s">
        <v>35</v>
      </c>
      <c r="N155" s="22"/>
      <c r="O155" s="22"/>
      <c r="P155" s="22"/>
      <c r="Q155" s="22"/>
    </row>
    <row r="156" customFormat="false" ht="34.5" hidden="false" customHeight="true" outlineLevel="0" collapsed="false">
      <c r="A156" s="20" t="s">
        <v>978</v>
      </c>
      <c r="B156" s="20" t="s">
        <v>45</v>
      </c>
      <c r="C156" s="20" t="s">
        <v>935</v>
      </c>
      <c r="D156" s="20" t="s">
        <v>979</v>
      </c>
      <c r="E156" s="20" t="s">
        <v>81</v>
      </c>
      <c r="F156" s="20" t="s">
        <v>89</v>
      </c>
      <c r="G156" s="20" t="s">
        <v>68</v>
      </c>
      <c r="H156" s="20" t="s">
        <v>980</v>
      </c>
      <c r="I156" s="20" t="s">
        <v>981</v>
      </c>
      <c r="J156" s="20" t="s">
        <v>982</v>
      </c>
      <c r="K156" s="20" t="s">
        <v>983</v>
      </c>
      <c r="L156" s="20" t="s">
        <v>941</v>
      </c>
      <c r="M156" s="21" t="s">
        <v>32</v>
      </c>
      <c r="N156" s="22" t="s">
        <v>984</v>
      </c>
      <c r="O156" s="22" t="s">
        <v>131</v>
      </c>
      <c r="P156" s="22" t="s">
        <v>132</v>
      </c>
      <c r="Q156" s="22"/>
    </row>
    <row r="157" customFormat="false" ht="34.5" hidden="false" customHeight="true" outlineLevel="0" collapsed="false">
      <c r="A157" s="20" t="s">
        <v>985</v>
      </c>
      <c r="B157" s="20" t="s">
        <v>45</v>
      </c>
      <c r="C157" s="20" t="s">
        <v>935</v>
      </c>
      <c r="D157" s="20" t="s">
        <v>986</v>
      </c>
      <c r="E157" s="20" t="s">
        <v>81</v>
      </c>
      <c r="F157" s="20" t="s">
        <v>76</v>
      </c>
      <c r="G157" s="20" t="s">
        <v>68</v>
      </c>
      <c r="H157" s="20" t="s">
        <v>987</v>
      </c>
      <c r="I157" s="20" t="s">
        <v>988</v>
      </c>
      <c r="J157" s="20" t="s">
        <v>989</v>
      </c>
      <c r="K157" s="20" t="s">
        <v>990</v>
      </c>
      <c r="L157" s="20" t="s">
        <v>941</v>
      </c>
      <c r="M157" s="21" t="s">
        <v>35</v>
      </c>
      <c r="N157" s="22"/>
      <c r="O157" s="22"/>
      <c r="P157" s="22"/>
      <c r="Q157" s="22"/>
    </row>
    <row r="158" customFormat="false" ht="34.5" hidden="false" customHeight="true" outlineLevel="0" collapsed="false">
      <c r="A158" s="20" t="s">
        <v>991</v>
      </c>
      <c r="B158" s="20" t="s">
        <v>45</v>
      </c>
      <c r="C158" s="20" t="s">
        <v>992</v>
      </c>
      <c r="D158" s="20" t="s">
        <v>993</v>
      </c>
      <c r="E158" s="20" t="s">
        <v>66</v>
      </c>
      <c r="F158" s="20" t="s">
        <v>89</v>
      </c>
      <c r="G158" s="20" t="s">
        <v>442</v>
      </c>
      <c r="H158" s="20" t="s">
        <v>994</v>
      </c>
      <c r="I158" s="20" t="s">
        <v>995</v>
      </c>
      <c r="J158" s="20" t="s">
        <v>97</v>
      </c>
      <c r="K158" s="20" t="s">
        <v>996</v>
      </c>
      <c r="L158" s="20" t="s">
        <v>941</v>
      </c>
      <c r="M158" s="21" t="s">
        <v>35</v>
      </c>
      <c r="N158" s="22"/>
      <c r="O158" s="22"/>
      <c r="P158" s="22"/>
      <c r="Q158" s="22"/>
    </row>
    <row r="159" customFormat="false" ht="34.5" hidden="false" customHeight="true" outlineLevel="0" collapsed="false">
      <c r="A159" s="20" t="s">
        <v>997</v>
      </c>
      <c r="B159" s="20" t="s">
        <v>45</v>
      </c>
      <c r="C159" s="20" t="s">
        <v>992</v>
      </c>
      <c r="D159" s="20" t="s">
        <v>998</v>
      </c>
      <c r="E159" s="20" t="s">
        <v>66</v>
      </c>
      <c r="F159" s="20" t="s">
        <v>76</v>
      </c>
      <c r="G159" s="20" t="s">
        <v>442</v>
      </c>
      <c r="H159" s="20" t="s">
        <v>849</v>
      </c>
      <c r="I159" s="20" t="s">
        <v>999</v>
      </c>
      <c r="J159" s="20" t="s">
        <v>97</v>
      </c>
      <c r="K159" s="20" t="s">
        <v>1000</v>
      </c>
      <c r="L159" s="20" t="s">
        <v>941</v>
      </c>
      <c r="M159" s="21" t="s">
        <v>35</v>
      </c>
      <c r="N159" s="22"/>
      <c r="O159" s="22"/>
      <c r="P159" s="22"/>
      <c r="Q159" s="22"/>
    </row>
    <row r="160" customFormat="false" ht="34.5" hidden="false" customHeight="true" outlineLevel="0" collapsed="false">
      <c r="A160" s="20" t="s">
        <v>1001</v>
      </c>
      <c r="B160" s="20" t="s">
        <v>45</v>
      </c>
      <c r="C160" s="20" t="s">
        <v>992</v>
      </c>
      <c r="D160" s="20" t="s">
        <v>1002</v>
      </c>
      <c r="E160" s="20" t="s">
        <v>161</v>
      </c>
      <c r="F160" s="20" t="s">
        <v>67</v>
      </c>
      <c r="G160" s="20" t="s">
        <v>68</v>
      </c>
      <c r="H160" s="20" t="s">
        <v>1003</v>
      </c>
      <c r="I160" s="20" t="s">
        <v>1004</v>
      </c>
      <c r="J160" s="20" t="s">
        <v>97</v>
      </c>
      <c r="K160" s="20" t="s">
        <v>1005</v>
      </c>
      <c r="L160" s="20" t="s">
        <v>941</v>
      </c>
      <c r="M160" s="21" t="s">
        <v>35</v>
      </c>
      <c r="N160" s="22"/>
      <c r="O160" s="22"/>
      <c r="P160" s="22"/>
      <c r="Q160" s="22"/>
    </row>
    <row r="161" customFormat="false" ht="23.25" hidden="false" customHeight="true" outlineLevel="0" collapsed="false">
      <c r="A161" s="20" t="s">
        <v>1006</v>
      </c>
      <c r="B161" s="20" t="s">
        <v>46</v>
      </c>
      <c r="C161" s="20" t="s">
        <v>1007</v>
      </c>
      <c r="D161" s="20" t="s">
        <v>1008</v>
      </c>
      <c r="E161" s="20" t="s">
        <v>66</v>
      </c>
      <c r="F161" s="20" t="s">
        <v>76</v>
      </c>
      <c r="G161" s="20" t="s">
        <v>68</v>
      </c>
      <c r="H161" s="20" t="s">
        <v>1009</v>
      </c>
      <c r="I161" s="20" t="s">
        <v>1010</v>
      </c>
      <c r="J161" s="20" t="s">
        <v>97</v>
      </c>
      <c r="K161" s="20" t="s">
        <v>1011</v>
      </c>
      <c r="L161" s="20" t="s">
        <v>1012</v>
      </c>
      <c r="M161" s="21" t="s">
        <v>35</v>
      </c>
      <c r="N161" s="22"/>
      <c r="O161" s="22"/>
      <c r="P161" s="22"/>
      <c r="Q161" s="22"/>
    </row>
    <row r="162" customFormat="false" ht="34.5" hidden="false" customHeight="true" outlineLevel="0" collapsed="false">
      <c r="A162" s="20" t="s">
        <v>1013</v>
      </c>
      <c r="B162" s="20" t="s">
        <v>46</v>
      </c>
      <c r="C162" s="20" t="s">
        <v>1007</v>
      </c>
      <c r="D162" s="20" t="s">
        <v>1014</v>
      </c>
      <c r="E162" s="20" t="s">
        <v>66</v>
      </c>
      <c r="F162" s="20" t="s">
        <v>119</v>
      </c>
      <c r="G162" s="20" t="s">
        <v>68</v>
      </c>
      <c r="H162" s="20" t="s">
        <v>97</v>
      </c>
      <c r="I162" s="20" t="s">
        <v>1015</v>
      </c>
      <c r="J162" s="20" t="s">
        <v>97</v>
      </c>
      <c r="K162" s="20" t="s">
        <v>1016</v>
      </c>
      <c r="L162" s="20" t="s">
        <v>1017</v>
      </c>
      <c r="M162" s="21" t="s">
        <v>35</v>
      </c>
      <c r="N162" s="22"/>
      <c r="O162" s="22"/>
      <c r="P162" s="22"/>
      <c r="Q162" s="22"/>
    </row>
    <row r="163" customFormat="false" ht="34.5" hidden="false" customHeight="true" outlineLevel="0" collapsed="false">
      <c r="A163" s="20" t="s">
        <v>1018</v>
      </c>
      <c r="B163" s="20" t="s">
        <v>46</v>
      </c>
      <c r="C163" s="20" t="s">
        <v>1019</v>
      </c>
      <c r="D163" s="20" t="s">
        <v>1020</v>
      </c>
      <c r="E163" s="20" t="s">
        <v>66</v>
      </c>
      <c r="F163" s="20" t="s">
        <v>89</v>
      </c>
      <c r="G163" s="20" t="s">
        <v>306</v>
      </c>
      <c r="H163" s="20" t="s">
        <v>1021</v>
      </c>
      <c r="I163" s="20" t="s">
        <v>1022</v>
      </c>
      <c r="J163" s="20" t="s">
        <v>97</v>
      </c>
      <c r="K163" s="20" t="s">
        <v>1023</v>
      </c>
      <c r="L163" s="20" t="s">
        <v>1024</v>
      </c>
      <c r="M163" s="21" t="s">
        <v>35</v>
      </c>
      <c r="N163" s="22"/>
      <c r="O163" s="22"/>
      <c r="P163" s="22"/>
      <c r="Q163" s="22"/>
    </row>
    <row r="164" customFormat="false" ht="34.5" hidden="false" customHeight="true" outlineLevel="0" collapsed="false">
      <c r="A164" s="20" t="s">
        <v>1025</v>
      </c>
      <c r="B164" s="20" t="s">
        <v>46</v>
      </c>
      <c r="C164" s="20" t="s">
        <v>1019</v>
      </c>
      <c r="D164" s="20" t="s">
        <v>1026</v>
      </c>
      <c r="E164" s="20" t="s">
        <v>96</v>
      </c>
      <c r="F164" s="20" t="s">
        <v>76</v>
      </c>
      <c r="G164" s="20" t="s">
        <v>306</v>
      </c>
      <c r="H164" s="20" t="s">
        <v>97</v>
      </c>
      <c r="I164" s="20" t="s">
        <v>1027</v>
      </c>
      <c r="J164" s="20" t="s">
        <v>97</v>
      </c>
      <c r="K164" s="20" t="s">
        <v>1028</v>
      </c>
      <c r="L164" s="20" t="s">
        <v>1029</v>
      </c>
      <c r="M164" s="21" t="s">
        <v>35</v>
      </c>
      <c r="N164" s="22"/>
      <c r="O164" s="22"/>
      <c r="P164" s="22"/>
      <c r="Q164" s="22"/>
    </row>
    <row r="165" customFormat="false" ht="34.5" hidden="false" customHeight="true" outlineLevel="0" collapsed="false">
      <c r="A165" s="20" t="s">
        <v>1030</v>
      </c>
      <c r="B165" s="20" t="s">
        <v>46</v>
      </c>
      <c r="C165" s="20" t="s">
        <v>1019</v>
      </c>
      <c r="D165" s="20" t="s">
        <v>1031</v>
      </c>
      <c r="E165" s="20" t="s">
        <v>96</v>
      </c>
      <c r="F165" s="20" t="s">
        <v>76</v>
      </c>
      <c r="G165" s="20" t="s">
        <v>306</v>
      </c>
      <c r="H165" s="20" t="s">
        <v>97</v>
      </c>
      <c r="I165" s="20" t="s">
        <v>1032</v>
      </c>
      <c r="J165" s="20" t="s">
        <v>97</v>
      </c>
      <c r="K165" s="20" t="s">
        <v>1033</v>
      </c>
      <c r="L165" s="20" t="s">
        <v>1029</v>
      </c>
      <c r="M165" s="21" t="s">
        <v>35</v>
      </c>
      <c r="N165" s="22"/>
      <c r="O165" s="22"/>
      <c r="P165" s="22"/>
      <c r="Q165" s="22"/>
    </row>
    <row r="166" customFormat="false" ht="23.25" hidden="false" customHeight="true" outlineLevel="0" collapsed="false">
      <c r="A166" s="20" t="s">
        <v>1034</v>
      </c>
      <c r="B166" s="20" t="s">
        <v>46</v>
      </c>
      <c r="C166" s="20" t="s">
        <v>1019</v>
      </c>
      <c r="D166" s="20" t="s">
        <v>1035</v>
      </c>
      <c r="E166" s="20" t="s">
        <v>66</v>
      </c>
      <c r="F166" s="20" t="s">
        <v>89</v>
      </c>
      <c r="G166" s="20" t="s">
        <v>306</v>
      </c>
      <c r="H166" s="20" t="s">
        <v>1036</v>
      </c>
      <c r="I166" s="20" t="s">
        <v>1037</v>
      </c>
      <c r="J166" s="20" t="s">
        <v>1038</v>
      </c>
      <c r="K166" s="20" t="s">
        <v>1039</v>
      </c>
      <c r="L166" s="20" t="s">
        <v>1040</v>
      </c>
      <c r="M166" s="21" t="s">
        <v>35</v>
      </c>
      <c r="N166" s="22"/>
      <c r="O166" s="22"/>
      <c r="P166" s="22"/>
      <c r="Q166" s="22"/>
    </row>
    <row r="167" customFormat="false" ht="23.25" hidden="false" customHeight="true" outlineLevel="0" collapsed="false">
      <c r="A167" s="20" t="s">
        <v>1041</v>
      </c>
      <c r="B167" s="20" t="s">
        <v>46</v>
      </c>
      <c r="C167" s="20" t="s">
        <v>1019</v>
      </c>
      <c r="D167" s="20" t="s">
        <v>1042</v>
      </c>
      <c r="E167" s="20" t="s">
        <v>81</v>
      </c>
      <c r="F167" s="20" t="s">
        <v>76</v>
      </c>
      <c r="G167" s="20" t="s">
        <v>306</v>
      </c>
      <c r="H167" s="20" t="s">
        <v>97</v>
      </c>
      <c r="I167" s="20" t="s">
        <v>1043</v>
      </c>
      <c r="J167" s="20" t="s">
        <v>97</v>
      </c>
      <c r="K167" s="20" t="s">
        <v>1044</v>
      </c>
      <c r="L167" s="20" t="s">
        <v>1040</v>
      </c>
      <c r="M167" s="21" t="s">
        <v>35</v>
      </c>
      <c r="N167" s="22"/>
      <c r="O167" s="22"/>
      <c r="P167" s="22"/>
      <c r="Q167" s="22"/>
    </row>
    <row r="168" customFormat="false" ht="34.5" hidden="false" customHeight="true" outlineLevel="0" collapsed="false">
      <c r="A168" s="20" t="s">
        <v>1045</v>
      </c>
      <c r="B168" s="20" t="s">
        <v>46</v>
      </c>
      <c r="C168" s="20" t="s">
        <v>1019</v>
      </c>
      <c r="D168" s="20" t="s">
        <v>1046</v>
      </c>
      <c r="E168" s="20" t="s">
        <v>161</v>
      </c>
      <c r="F168" s="20" t="s">
        <v>89</v>
      </c>
      <c r="G168" s="20" t="s">
        <v>68</v>
      </c>
      <c r="H168" s="20" t="s">
        <v>97</v>
      </c>
      <c r="I168" s="20" t="s">
        <v>1047</v>
      </c>
      <c r="J168" s="20" t="s">
        <v>97</v>
      </c>
      <c r="K168" s="20" t="s">
        <v>1048</v>
      </c>
      <c r="L168" s="20" t="s">
        <v>1049</v>
      </c>
      <c r="M168" s="21" t="s">
        <v>35</v>
      </c>
      <c r="N168" s="22"/>
      <c r="O168" s="22"/>
      <c r="P168" s="22"/>
      <c r="Q168" s="22"/>
    </row>
    <row r="169" customFormat="false" ht="34.5" hidden="false" customHeight="true" outlineLevel="0" collapsed="false">
      <c r="A169" s="20" t="s">
        <v>1050</v>
      </c>
      <c r="B169" s="20" t="s">
        <v>47</v>
      </c>
      <c r="C169" s="20" t="s">
        <v>1051</v>
      </c>
      <c r="D169" s="20" t="s">
        <v>1052</v>
      </c>
      <c r="E169" s="20" t="s">
        <v>66</v>
      </c>
      <c r="F169" s="20" t="s">
        <v>67</v>
      </c>
      <c r="G169" s="20" t="s">
        <v>68</v>
      </c>
      <c r="H169" s="20" t="s">
        <v>1053</v>
      </c>
      <c r="I169" s="20" t="s">
        <v>1054</v>
      </c>
      <c r="J169" s="20" t="s">
        <v>1055</v>
      </c>
      <c r="K169" s="20" t="s">
        <v>1056</v>
      </c>
      <c r="L169" s="20" t="s">
        <v>1057</v>
      </c>
      <c r="M169" s="21" t="s">
        <v>35</v>
      </c>
      <c r="N169" s="22"/>
      <c r="O169" s="22"/>
      <c r="P169" s="22"/>
      <c r="Q169" s="22"/>
    </row>
    <row r="170" customFormat="false" ht="34.5" hidden="false" customHeight="true" outlineLevel="0" collapsed="false">
      <c r="A170" s="20" t="s">
        <v>1058</v>
      </c>
      <c r="B170" s="20" t="s">
        <v>47</v>
      </c>
      <c r="C170" s="20" t="s">
        <v>1051</v>
      </c>
      <c r="D170" s="20" t="s">
        <v>1059</v>
      </c>
      <c r="E170" s="20" t="s">
        <v>66</v>
      </c>
      <c r="F170" s="20" t="s">
        <v>67</v>
      </c>
      <c r="G170" s="20" t="s">
        <v>68</v>
      </c>
      <c r="H170" s="20" t="s">
        <v>1060</v>
      </c>
      <c r="I170" s="20" t="s">
        <v>1061</v>
      </c>
      <c r="J170" s="20" t="s">
        <v>1062</v>
      </c>
      <c r="K170" s="20" t="s">
        <v>1063</v>
      </c>
      <c r="L170" s="20" t="s">
        <v>1064</v>
      </c>
      <c r="M170" s="21" t="s">
        <v>32</v>
      </c>
      <c r="N170" s="22" t="s">
        <v>1065</v>
      </c>
      <c r="O170" s="22" t="s">
        <v>131</v>
      </c>
      <c r="P170" s="22" t="s">
        <v>132</v>
      </c>
      <c r="Q170" s="22"/>
    </row>
    <row r="171" customFormat="false" ht="34.5" hidden="false" customHeight="true" outlineLevel="0" collapsed="false">
      <c r="A171" s="20" t="s">
        <v>1066</v>
      </c>
      <c r="B171" s="20" t="s">
        <v>47</v>
      </c>
      <c r="C171" s="20" t="s">
        <v>1051</v>
      </c>
      <c r="D171" s="20" t="s">
        <v>1067</v>
      </c>
      <c r="E171" s="20" t="s">
        <v>118</v>
      </c>
      <c r="F171" s="20" t="s">
        <v>89</v>
      </c>
      <c r="G171" s="20" t="s">
        <v>68</v>
      </c>
      <c r="H171" s="20" t="s">
        <v>1068</v>
      </c>
      <c r="I171" s="20" t="s">
        <v>1069</v>
      </c>
      <c r="J171" s="20" t="s">
        <v>976</v>
      </c>
      <c r="K171" s="20" t="s">
        <v>1070</v>
      </c>
      <c r="L171" s="20" t="s">
        <v>1064</v>
      </c>
      <c r="M171" s="21" t="s">
        <v>32</v>
      </c>
      <c r="N171" s="22" t="s">
        <v>1065</v>
      </c>
      <c r="O171" s="22" t="s">
        <v>131</v>
      </c>
      <c r="P171" s="22" t="s">
        <v>132</v>
      </c>
      <c r="Q171" s="22"/>
    </row>
    <row r="172" customFormat="false" ht="34.5" hidden="false" customHeight="true" outlineLevel="0" collapsed="false">
      <c r="A172" s="20" t="s">
        <v>1071</v>
      </c>
      <c r="B172" s="20" t="s">
        <v>47</v>
      </c>
      <c r="C172" s="20" t="s">
        <v>1051</v>
      </c>
      <c r="D172" s="20" t="s">
        <v>1072</v>
      </c>
      <c r="E172" s="20" t="s">
        <v>118</v>
      </c>
      <c r="F172" s="20" t="s">
        <v>76</v>
      </c>
      <c r="G172" s="20" t="s">
        <v>68</v>
      </c>
      <c r="H172" s="20" t="s">
        <v>1073</v>
      </c>
      <c r="I172" s="20" t="s">
        <v>1074</v>
      </c>
      <c r="J172" s="20" t="s">
        <v>97</v>
      </c>
      <c r="K172" s="20" t="s">
        <v>1075</v>
      </c>
      <c r="L172" s="20" t="s">
        <v>1064</v>
      </c>
      <c r="M172" s="21" t="s">
        <v>32</v>
      </c>
      <c r="N172" s="22" t="s">
        <v>1065</v>
      </c>
      <c r="O172" s="22" t="s">
        <v>131</v>
      </c>
      <c r="P172" s="22" t="s">
        <v>132</v>
      </c>
      <c r="Q172" s="22"/>
    </row>
    <row r="173" customFormat="false" ht="34.5" hidden="false" customHeight="true" outlineLevel="0" collapsed="false">
      <c r="A173" s="20" t="s">
        <v>1076</v>
      </c>
      <c r="B173" s="20" t="s">
        <v>47</v>
      </c>
      <c r="C173" s="20" t="s">
        <v>1051</v>
      </c>
      <c r="D173" s="20" t="s">
        <v>1077</v>
      </c>
      <c r="E173" s="20" t="s">
        <v>66</v>
      </c>
      <c r="F173" s="20" t="s">
        <v>76</v>
      </c>
      <c r="G173" s="20" t="s">
        <v>68</v>
      </c>
      <c r="H173" s="20" t="s">
        <v>1078</v>
      </c>
      <c r="I173" s="20" t="s">
        <v>1079</v>
      </c>
      <c r="J173" s="20" t="s">
        <v>1080</v>
      </c>
      <c r="K173" s="20" t="s">
        <v>1081</v>
      </c>
      <c r="L173" s="20" t="s">
        <v>1064</v>
      </c>
      <c r="M173" s="21" t="s">
        <v>32</v>
      </c>
      <c r="N173" s="22" t="s">
        <v>1065</v>
      </c>
      <c r="O173" s="22" t="s">
        <v>131</v>
      </c>
      <c r="P173" s="22" t="s">
        <v>132</v>
      </c>
      <c r="Q173" s="22"/>
    </row>
    <row r="174" customFormat="false" ht="34.5" hidden="false" customHeight="true" outlineLevel="0" collapsed="false">
      <c r="A174" s="20" t="s">
        <v>1082</v>
      </c>
      <c r="B174" s="20" t="s">
        <v>47</v>
      </c>
      <c r="C174" s="20" t="s">
        <v>1051</v>
      </c>
      <c r="D174" s="20" t="s">
        <v>1083</v>
      </c>
      <c r="E174" s="20" t="s">
        <v>66</v>
      </c>
      <c r="F174" s="20" t="s">
        <v>89</v>
      </c>
      <c r="G174" s="20" t="s">
        <v>68</v>
      </c>
      <c r="H174" s="20" t="s">
        <v>1084</v>
      </c>
      <c r="I174" s="20" t="s">
        <v>1085</v>
      </c>
      <c r="J174" s="20" t="s">
        <v>1086</v>
      </c>
      <c r="K174" s="20" t="s">
        <v>1075</v>
      </c>
      <c r="L174" s="20" t="s">
        <v>1064</v>
      </c>
      <c r="M174" s="21" t="s">
        <v>32</v>
      </c>
      <c r="N174" s="22" t="s">
        <v>130</v>
      </c>
      <c r="O174" s="22" t="s">
        <v>131</v>
      </c>
      <c r="P174" s="22" t="s">
        <v>132</v>
      </c>
      <c r="Q174" s="22"/>
    </row>
    <row r="175" customFormat="false" ht="34.5" hidden="false" customHeight="true" outlineLevel="0" collapsed="false">
      <c r="A175" s="20" t="s">
        <v>1087</v>
      </c>
      <c r="B175" s="20" t="s">
        <v>47</v>
      </c>
      <c r="C175" s="20" t="s">
        <v>1051</v>
      </c>
      <c r="D175" s="20" t="s">
        <v>1088</v>
      </c>
      <c r="E175" s="20" t="s">
        <v>81</v>
      </c>
      <c r="F175" s="20" t="s">
        <v>89</v>
      </c>
      <c r="G175" s="20" t="s">
        <v>68</v>
      </c>
      <c r="H175" s="20" t="s">
        <v>1089</v>
      </c>
      <c r="I175" s="20" t="s">
        <v>1090</v>
      </c>
      <c r="J175" s="20" t="s">
        <v>97</v>
      </c>
      <c r="K175" s="20" t="s">
        <v>1091</v>
      </c>
      <c r="L175" s="20" t="s">
        <v>1064</v>
      </c>
      <c r="M175" s="21" t="s">
        <v>32</v>
      </c>
      <c r="N175" s="22" t="s">
        <v>1065</v>
      </c>
      <c r="O175" s="22" t="s">
        <v>131</v>
      </c>
      <c r="P175" s="22" t="s">
        <v>132</v>
      </c>
      <c r="Q175" s="22"/>
    </row>
    <row r="176" customFormat="false" ht="34.5" hidden="false" customHeight="true" outlineLevel="0" collapsed="false">
      <c r="A176" s="20" t="s">
        <v>1092</v>
      </c>
      <c r="B176" s="20" t="s">
        <v>47</v>
      </c>
      <c r="C176" s="20" t="s">
        <v>1051</v>
      </c>
      <c r="D176" s="20" t="s">
        <v>979</v>
      </c>
      <c r="E176" s="20" t="s">
        <v>81</v>
      </c>
      <c r="F176" s="20" t="s">
        <v>89</v>
      </c>
      <c r="G176" s="20" t="s">
        <v>68</v>
      </c>
      <c r="H176" s="20" t="s">
        <v>1093</v>
      </c>
      <c r="I176" s="20" t="s">
        <v>1094</v>
      </c>
      <c r="J176" s="20" t="s">
        <v>97</v>
      </c>
      <c r="K176" s="20" t="s">
        <v>983</v>
      </c>
      <c r="L176" s="20" t="s">
        <v>1095</v>
      </c>
      <c r="M176" s="21" t="s">
        <v>32</v>
      </c>
      <c r="N176" s="22" t="s">
        <v>984</v>
      </c>
      <c r="O176" s="22" t="s">
        <v>131</v>
      </c>
      <c r="P176" s="22" t="s">
        <v>132</v>
      </c>
      <c r="Q176" s="22"/>
    </row>
    <row r="177" customFormat="false" ht="34.5" hidden="false" customHeight="true" outlineLevel="0" collapsed="false">
      <c r="A177" s="20" t="s">
        <v>1096</v>
      </c>
      <c r="B177" s="20" t="s">
        <v>47</v>
      </c>
      <c r="C177" s="20" t="s">
        <v>1051</v>
      </c>
      <c r="D177" s="20" t="s">
        <v>1097</v>
      </c>
      <c r="E177" s="20" t="s">
        <v>215</v>
      </c>
      <c r="F177" s="20" t="s">
        <v>119</v>
      </c>
      <c r="G177" s="20" t="s">
        <v>68</v>
      </c>
      <c r="H177" s="20" t="s">
        <v>97</v>
      </c>
      <c r="I177" s="20" t="s">
        <v>1098</v>
      </c>
      <c r="J177" s="20" t="s">
        <v>1099</v>
      </c>
      <c r="K177" s="20" t="s">
        <v>1100</v>
      </c>
      <c r="L177" s="20" t="s">
        <v>1095</v>
      </c>
      <c r="M177" s="21" t="s">
        <v>32</v>
      </c>
      <c r="N177" s="22" t="s">
        <v>1101</v>
      </c>
      <c r="O177" s="22" t="s">
        <v>131</v>
      </c>
      <c r="P177" s="22" t="s">
        <v>132</v>
      </c>
      <c r="Q177" s="22"/>
    </row>
    <row r="178" customFormat="false" ht="34.5" hidden="false" customHeight="true" outlineLevel="0" collapsed="false">
      <c r="A178" s="20" t="s">
        <v>1102</v>
      </c>
      <c r="B178" s="20" t="s">
        <v>47</v>
      </c>
      <c r="C178" s="20" t="s">
        <v>1051</v>
      </c>
      <c r="D178" s="20" t="s">
        <v>1103</v>
      </c>
      <c r="E178" s="20" t="s">
        <v>96</v>
      </c>
      <c r="F178" s="20" t="s">
        <v>76</v>
      </c>
      <c r="G178" s="20" t="s">
        <v>68</v>
      </c>
      <c r="H178" s="20" t="s">
        <v>97</v>
      </c>
      <c r="I178" s="20" t="s">
        <v>1104</v>
      </c>
      <c r="J178" s="20" t="s">
        <v>623</v>
      </c>
      <c r="K178" s="20" t="s">
        <v>1105</v>
      </c>
      <c r="L178" s="20" t="s">
        <v>1057</v>
      </c>
      <c r="M178" s="21" t="s">
        <v>35</v>
      </c>
      <c r="N178" s="22"/>
      <c r="O178" s="22"/>
      <c r="P178" s="22"/>
      <c r="Q178" s="22"/>
    </row>
    <row r="179" customFormat="false" ht="34.5" hidden="false" customHeight="true" outlineLevel="0" collapsed="false">
      <c r="A179" s="20" t="s">
        <v>1106</v>
      </c>
      <c r="B179" s="20" t="s">
        <v>47</v>
      </c>
      <c r="C179" s="20" t="s">
        <v>1051</v>
      </c>
      <c r="D179" s="20" t="s">
        <v>1107</v>
      </c>
      <c r="E179" s="20" t="s">
        <v>81</v>
      </c>
      <c r="F179" s="20" t="s">
        <v>67</v>
      </c>
      <c r="G179" s="20" t="s">
        <v>68</v>
      </c>
      <c r="H179" s="20" t="s">
        <v>1108</v>
      </c>
      <c r="I179" s="20" t="s">
        <v>1109</v>
      </c>
      <c r="J179" s="20" t="s">
        <v>97</v>
      </c>
      <c r="K179" s="20" t="s">
        <v>1110</v>
      </c>
      <c r="L179" s="20" t="s">
        <v>1057</v>
      </c>
      <c r="M179" s="21" t="s">
        <v>35</v>
      </c>
      <c r="N179" s="22"/>
      <c r="O179" s="22"/>
      <c r="P179" s="22"/>
      <c r="Q179" s="22"/>
    </row>
    <row r="180" customFormat="false" ht="34.5" hidden="false" customHeight="true" outlineLevel="0" collapsed="false">
      <c r="A180" s="20" t="s">
        <v>1111</v>
      </c>
      <c r="B180" s="20" t="s">
        <v>47</v>
      </c>
      <c r="C180" s="20" t="s">
        <v>1051</v>
      </c>
      <c r="D180" s="20" t="s">
        <v>1112</v>
      </c>
      <c r="E180" s="20" t="s">
        <v>81</v>
      </c>
      <c r="F180" s="20" t="s">
        <v>67</v>
      </c>
      <c r="G180" s="20" t="s">
        <v>68</v>
      </c>
      <c r="H180" s="20" t="s">
        <v>1113</v>
      </c>
      <c r="I180" s="20" t="s">
        <v>1114</v>
      </c>
      <c r="J180" s="20" t="s">
        <v>97</v>
      </c>
      <c r="K180" s="20" t="s">
        <v>1115</v>
      </c>
      <c r="L180" s="20" t="s">
        <v>1116</v>
      </c>
      <c r="M180" s="21" t="s">
        <v>35</v>
      </c>
      <c r="N180" s="22"/>
      <c r="O180" s="22"/>
      <c r="P180" s="22"/>
      <c r="Q180" s="22"/>
    </row>
    <row r="181" customFormat="false" ht="34.5" hidden="false" customHeight="true" outlineLevel="0" collapsed="false">
      <c r="A181" s="20" t="s">
        <v>1117</v>
      </c>
      <c r="B181" s="20" t="s">
        <v>47</v>
      </c>
      <c r="C181" s="20" t="s">
        <v>1051</v>
      </c>
      <c r="D181" s="20" t="s">
        <v>1118</v>
      </c>
      <c r="E181" s="20" t="s">
        <v>118</v>
      </c>
      <c r="F181" s="20" t="s">
        <v>76</v>
      </c>
      <c r="G181" s="20" t="s">
        <v>68</v>
      </c>
      <c r="H181" s="20" t="s">
        <v>1119</v>
      </c>
      <c r="I181" s="20" t="s">
        <v>1120</v>
      </c>
      <c r="J181" s="20" t="s">
        <v>97</v>
      </c>
      <c r="K181" s="20" t="s">
        <v>1121</v>
      </c>
      <c r="L181" s="20" t="s">
        <v>1064</v>
      </c>
      <c r="M181" s="21" t="s">
        <v>35</v>
      </c>
      <c r="N181" s="22"/>
      <c r="O181" s="22"/>
      <c r="P181" s="22"/>
      <c r="Q181" s="22"/>
    </row>
    <row r="182" customFormat="false" ht="34.5" hidden="false" customHeight="true" outlineLevel="0" collapsed="false">
      <c r="A182" s="20" t="s">
        <v>1122</v>
      </c>
      <c r="B182" s="20" t="s">
        <v>47</v>
      </c>
      <c r="C182" s="20" t="s">
        <v>1051</v>
      </c>
      <c r="D182" s="20" t="s">
        <v>1123</v>
      </c>
      <c r="E182" s="20" t="s">
        <v>118</v>
      </c>
      <c r="F182" s="20" t="s">
        <v>76</v>
      </c>
      <c r="G182" s="20" t="s">
        <v>68</v>
      </c>
      <c r="H182" s="20" t="s">
        <v>1124</v>
      </c>
      <c r="I182" s="20" t="s">
        <v>1125</v>
      </c>
      <c r="J182" s="20" t="s">
        <v>1126</v>
      </c>
      <c r="K182" s="20" t="s">
        <v>1127</v>
      </c>
      <c r="L182" s="20" t="s">
        <v>1064</v>
      </c>
      <c r="M182" s="21" t="s">
        <v>32</v>
      </c>
      <c r="N182" s="22" t="s">
        <v>1128</v>
      </c>
      <c r="O182" s="22" t="s">
        <v>131</v>
      </c>
      <c r="P182" s="22" t="s">
        <v>132</v>
      </c>
      <c r="Q182" s="22"/>
    </row>
    <row r="183" customFormat="false" ht="34.5" hidden="false" customHeight="true" outlineLevel="0" collapsed="false">
      <c r="A183" s="20" t="s">
        <v>1129</v>
      </c>
      <c r="B183" s="20" t="s">
        <v>47</v>
      </c>
      <c r="C183" s="20" t="s">
        <v>1051</v>
      </c>
      <c r="D183" s="20" t="s">
        <v>1130</v>
      </c>
      <c r="E183" s="20" t="s">
        <v>161</v>
      </c>
      <c r="F183" s="20" t="s">
        <v>76</v>
      </c>
      <c r="G183" s="20" t="s">
        <v>306</v>
      </c>
      <c r="H183" s="20" t="s">
        <v>1131</v>
      </c>
      <c r="I183" s="20" t="s">
        <v>1132</v>
      </c>
      <c r="J183" s="20" t="s">
        <v>97</v>
      </c>
      <c r="K183" s="20" t="s">
        <v>1133</v>
      </c>
      <c r="L183" s="20" t="s">
        <v>1057</v>
      </c>
      <c r="M183" s="21" t="s">
        <v>35</v>
      </c>
      <c r="N183" s="22"/>
      <c r="O183" s="22"/>
      <c r="P183" s="22"/>
      <c r="Q183" s="22"/>
    </row>
    <row r="184" customFormat="false" ht="45.75" hidden="false" customHeight="true" outlineLevel="0" collapsed="false">
      <c r="A184" s="20" t="s">
        <v>1134</v>
      </c>
      <c r="B184" s="20" t="s">
        <v>47</v>
      </c>
      <c r="C184" s="20" t="s">
        <v>522</v>
      </c>
      <c r="D184" s="20" t="s">
        <v>1135</v>
      </c>
      <c r="E184" s="20" t="s">
        <v>66</v>
      </c>
      <c r="F184" s="20" t="s">
        <v>89</v>
      </c>
      <c r="G184" s="20" t="s">
        <v>68</v>
      </c>
      <c r="H184" s="20" t="s">
        <v>1136</v>
      </c>
      <c r="I184" s="20" t="s">
        <v>1137</v>
      </c>
      <c r="J184" s="20" t="s">
        <v>1138</v>
      </c>
      <c r="K184" s="20" t="s">
        <v>1139</v>
      </c>
      <c r="L184" s="20" t="s">
        <v>1064</v>
      </c>
      <c r="M184" s="21" t="s">
        <v>32</v>
      </c>
      <c r="N184" s="22" t="s">
        <v>1065</v>
      </c>
      <c r="O184" s="22" t="s">
        <v>131</v>
      </c>
      <c r="P184" s="22" t="s">
        <v>132</v>
      </c>
      <c r="Q184" s="22"/>
    </row>
    <row r="185" customFormat="false" ht="34.5" hidden="false" customHeight="true" outlineLevel="0" collapsed="false">
      <c r="A185" s="20" t="s">
        <v>1140</v>
      </c>
      <c r="B185" s="20" t="s">
        <v>47</v>
      </c>
      <c r="C185" s="20" t="s">
        <v>522</v>
      </c>
      <c r="D185" s="20" t="s">
        <v>1141</v>
      </c>
      <c r="E185" s="20" t="s">
        <v>66</v>
      </c>
      <c r="F185" s="20" t="s">
        <v>76</v>
      </c>
      <c r="G185" s="20" t="s">
        <v>68</v>
      </c>
      <c r="H185" s="20" t="s">
        <v>1142</v>
      </c>
      <c r="I185" s="20" t="s">
        <v>1143</v>
      </c>
      <c r="J185" s="20" t="s">
        <v>1144</v>
      </c>
      <c r="K185" s="20" t="s">
        <v>1145</v>
      </c>
      <c r="L185" s="20" t="s">
        <v>1064</v>
      </c>
      <c r="M185" s="21" t="s">
        <v>32</v>
      </c>
      <c r="N185" s="22" t="s">
        <v>1065</v>
      </c>
      <c r="O185" s="22" t="s">
        <v>131</v>
      </c>
      <c r="P185" s="22" t="s">
        <v>132</v>
      </c>
      <c r="Q185" s="22"/>
    </row>
    <row r="186" customFormat="false" ht="45.75" hidden="false" customHeight="true" outlineLevel="0" collapsed="false">
      <c r="A186" s="20" t="s">
        <v>1146</v>
      </c>
      <c r="B186" s="20" t="s">
        <v>47</v>
      </c>
      <c r="C186" s="20" t="s">
        <v>522</v>
      </c>
      <c r="D186" s="20" t="s">
        <v>1147</v>
      </c>
      <c r="E186" s="20" t="s">
        <v>215</v>
      </c>
      <c r="F186" s="20" t="s">
        <v>76</v>
      </c>
      <c r="G186" s="20" t="s">
        <v>68</v>
      </c>
      <c r="H186" s="20" t="s">
        <v>97</v>
      </c>
      <c r="I186" s="20" t="s">
        <v>1148</v>
      </c>
      <c r="J186" s="20" t="s">
        <v>97</v>
      </c>
      <c r="K186" s="20" t="s">
        <v>1149</v>
      </c>
      <c r="L186" s="20" t="s">
        <v>1057</v>
      </c>
      <c r="M186" s="21" t="s">
        <v>35</v>
      </c>
      <c r="N186" s="22"/>
      <c r="O186" s="22"/>
      <c r="P186" s="22"/>
      <c r="Q186" s="22"/>
    </row>
    <row r="187" customFormat="false" ht="34.5" hidden="false" customHeight="true" outlineLevel="0" collapsed="false">
      <c r="A187" s="20" t="s">
        <v>1150</v>
      </c>
      <c r="B187" s="20" t="s">
        <v>47</v>
      </c>
      <c r="C187" s="20" t="s">
        <v>522</v>
      </c>
      <c r="D187" s="20" t="s">
        <v>1151</v>
      </c>
      <c r="E187" s="20" t="s">
        <v>81</v>
      </c>
      <c r="F187" s="20" t="s">
        <v>119</v>
      </c>
      <c r="G187" s="20" t="s">
        <v>68</v>
      </c>
      <c r="H187" s="20" t="s">
        <v>97</v>
      </c>
      <c r="I187" s="20" t="s">
        <v>1152</v>
      </c>
      <c r="J187" s="20" t="s">
        <v>97</v>
      </c>
      <c r="K187" s="20" t="s">
        <v>1153</v>
      </c>
      <c r="L187" s="20" t="s">
        <v>1057</v>
      </c>
      <c r="M187" s="21" t="s">
        <v>35</v>
      </c>
      <c r="N187" s="22"/>
      <c r="O187" s="22"/>
      <c r="P187" s="22"/>
      <c r="Q187" s="22"/>
    </row>
    <row r="188" customFormat="false" ht="34.5" hidden="false" customHeight="true" outlineLevel="0" collapsed="false">
      <c r="A188" s="20" t="s">
        <v>1154</v>
      </c>
      <c r="B188" s="20" t="s">
        <v>47</v>
      </c>
      <c r="C188" s="20" t="s">
        <v>522</v>
      </c>
      <c r="D188" s="20" t="s">
        <v>1155</v>
      </c>
      <c r="E188" s="20" t="s">
        <v>66</v>
      </c>
      <c r="F188" s="20" t="s">
        <v>89</v>
      </c>
      <c r="G188" s="20" t="s">
        <v>306</v>
      </c>
      <c r="H188" s="20" t="s">
        <v>1156</v>
      </c>
      <c r="I188" s="20" t="s">
        <v>1157</v>
      </c>
      <c r="J188" s="20" t="s">
        <v>97</v>
      </c>
      <c r="K188" s="20" t="s">
        <v>1158</v>
      </c>
      <c r="L188" s="20" t="s">
        <v>1057</v>
      </c>
      <c r="M188" s="21" t="s">
        <v>35</v>
      </c>
      <c r="N188" s="22"/>
      <c r="O188" s="22"/>
      <c r="P188" s="22"/>
      <c r="Q188" s="22"/>
    </row>
    <row r="189" customFormat="false" ht="34.5" hidden="false" customHeight="true" outlineLevel="0" collapsed="false">
      <c r="A189" s="20" t="s">
        <v>1159</v>
      </c>
      <c r="B189" s="20" t="s">
        <v>47</v>
      </c>
      <c r="C189" s="20" t="s">
        <v>522</v>
      </c>
      <c r="D189" s="20" t="s">
        <v>1160</v>
      </c>
      <c r="E189" s="20" t="s">
        <v>96</v>
      </c>
      <c r="F189" s="20" t="s">
        <v>76</v>
      </c>
      <c r="G189" s="20" t="s">
        <v>306</v>
      </c>
      <c r="H189" s="20" t="s">
        <v>1161</v>
      </c>
      <c r="I189" s="20" t="s">
        <v>1162</v>
      </c>
      <c r="J189" s="20" t="s">
        <v>192</v>
      </c>
      <c r="K189" s="20" t="s">
        <v>1163</v>
      </c>
      <c r="L189" s="20" t="s">
        <v>1057</v>
      </c>
      <c r="M189" s="21" t="s">
        <v>35</v>
      </c>
      <c r="N189" s="22"/>
      <c r="O189" s="22"/>
      <c r="P189" s="22"/>
      <c r="Q189" s="22"/>
    </row>
    <row r="190" customFormat="false" ht="34.5" hidden="false" customHeight="true" outlineLevel="0" collapsed="false">
      <c r="A190" s="20" t="s">
        <v>1164</v>
      </c>
      <c r="B190" s="20" t="s">
        <v>47</v>
      </c>
      <c r="C190" s="20" t="s">
        <v>522</v>
      </c>
      <c r="D190" s="20" t="s">
        <v>1165</v>
      </c>
      <c r="E190" s="20" t="s">
        <v>161</v>
      </c>
      <c r="F190" s="20" t="s">
        <v>89</v>
      </c>
      <c r="G190" s="20" t="s">
        <v>442</v>
      </c>
      <c r="H190" s="20" t="s">
        <v>97</v>
      </c>
      <c r="I190" s="20" t="s">
        <v>1166</v>
      </c>
      <c r="J190" s="20" t="s">
        <v>97</v>
      </c>
      <c r="K190" s="20" t="s">
        <v>1167</v>
      </c>
      <c r="L190" s="20" t="s">
        <v>1057</v>
      </c>
      <c r="M190" s="21" t="s">
        <v>35</v>
      </c>
      <c r="N190" s="22"/>
      <c r="O190" s="22"/>
      <c r="P190" s="22"/>
      <c r="Q190" s="22"/>
    </row>
    <row r="191" customFormat="false" ht="34.5" hidden="false" customHeight="true" outlineLevel="0" collapsed="false">
      <c r="A191" s="20" t="s">
        <v>1168</v>
      </c>
      <c r="B191" s="20" t="s">
        <v>47</v>
      </c>
      <c r="C191" s="20" t="s">
        <v>992</v>
      </c>
      <c r="D191" s="20" t="s">
        <v>1169</v>
      </c>
      <c r="E191" s="20" t="s">
        <v>66</v>
      </c>
      <c r="F191" s="20" t="s">
        <v>67</v>
      </c>
      <c r="G191" s="20" t="s">
        <v>442</v>
      </c>
      <c r="H191" s="20" t="s">
        <v>1170</v>
      </c>
      <c r="I191" s="20" t="s">
        <v>1171</v>
      </c>
      <c r="J191" s="20" t="s">
        <v>97</v>
      </c>
      <c r="K191" s="20" t="s">
        <v>1172</v>
      </c>
      <c r="L191" s="20" t="s">
        <v>1057</v>
      </c>
      <c r="M191" s="21" t="s">
        <v>35</v>
      </c>
      <c r="N191" s="22"/>
      <c r="O191" s="22"/>
      <c r="P191" s="22"/>
      <c r="Q191" s="22"/>
    </row>
    <row r="192" customFormat="false" ht="34.5" hidden="false" customHeight="true" outlineLevel="0" collapsed="false">
      <c r="A192" s="20" t="s">
        <v>1173</v>
      </c>
      <c r="B192" s="20" t="s">
        <v>47</v>
      </c>
      <c r="C192" s="20" t="s">
        <v>992</v>
      </c>
      <c r="D192" s="20" t="s">
        <v>1174</v>
      </c>
      <c r="E192" s="20" t="s">
        <v>66</v>
      </c>
      <c r="F192" s="20" t="s">
        <v>89</v>
      </c>
      <c r="G192" s="20" t="s">
        <v>442</v>
      </c>
      <c r="H192" s="20" t="s">
        <v>1175</v>
      </c>
      <c r="I192" s="20" t="s">
        <v>999</v>
      </c>
      <c r="J192" s="20" t="s">
        <v>97</v>
      </c>
      <c r="K192" s="20" t="s">
        <v>1176</v>
      </c>
      <c r="L192" s="20" t="s">
        <v>1057</v>
      </c>
      <c r="M192" s="21" t="s">
        <v>35</v>
      </c>
      <c r="N192" s="22"/>
      <c r="O192" s="22"/>
      <c r="P192" s="22"/>
      <c r="Q192" s="22"/>
    </row>
    <row r="193" customFormat="false" ht="34.5" hidden="false" customHeight="true" outlineLevel="0" collapsed="false">
      <c r="A193" s="20" t="s">
        <v>1177</v>
      </c>
      <c r="B193" s="20" t="s">
        <v>47</v>
      </c>
      <c r="C193" s="20" t="s">
        <v>992</v>
      </c>
      <c r="D193" s="20" t="s">
        <v>1178</v>
      </c>
      <c r="E193" s="20" t="s">
        <v>161</v>
      </c>
      <c r="F193" s="20" t="s">
        <v>67</v>
      </c>
      <c r="G193" s="20" t="s">
        <v>442</v>
      </c>
      <c r="H193" s="20" t="s">
        <v>1179</v>
      </c>
      <c r="I193" s="20" t="s">
        <v>1180</v>
      </c>
      <c r="J193" s="20" t="s">
        <v>97</v>
      </c>
      <c r="K193" s="20" t="s">
        <v>1181</v>
      </c>
      <c r="L193" s="20" t="s">
        <v>1057</v>
      </c>
      <c r="M193" s="21" t="s">
        <v>35</v>
      </c>
      <c r="N193" s="22"/>
      <c r="O193" s="22"/>
      <c r="P193" s="22"/>
      <c r="Q193" s="22"/>
    </row>
    <row r="194" customFormat="false" ht="34.5" hidden="false" customHeight="true" outlineLevel="0" collapsed="false">
      <c r="A194" s="20" t="s">
        <v>1182</v>
      </c>
      <c r="B194" s="20" t="s">
        <v>47</v>
      </c>
      <c r="C194" s="20" t="s">
        <v>992</v>
      </c>
      <c r="D194" s="20" t="s">
        <v>1183</v>
      </c>
      <c r="E194" s="20" t="s">
        <v>161</v>
      </c>
      <c r="F194" s="20" t="s">
        <v>67</v>
      </c>
      <c r="G194" s="20" t="s">
        <v>442</v>
      </c>
      <c r="H194" s="20" t="s">
        <v>1184</v>
      </c>
      <c r="I194" s="20" t="s">
        <v>1185</v>
      </c>
      <c r="J194" s="20" t="s">
        <v>97</v>
      </c>
      <c r="K194" s="20" t="s">
        <v>1186</v>
      </c>
      <c r="L194" s="20" t="s">
        <v>1057</v>
      </c>
      <c r="M194" s="21" t="s">
        <v>35</v>
      </c>
      <c r="N194" s="22"/>
      <c r="O194" s="22"/>
      <c r="P194" s="22"/>
      <c r="Q194" s="22"/>
    </row>
    <row r="195" customFormat="false" ht="34.5" hidden="false" customHeight="true" outlineLevel="0" collapsed="false">
      <c r="A195" s="20" t="s">
        <v>1187</v>
      </c>
      <c r="B195" s="20" t="s">
        <v>47</v>
      </c>
      <c r="C195" s="20" t="s">
        <v>992</v>
      </c>
      <c r="D195" s="20" t="s">
        <v>1188</v>
      </c>
      <c r="E195" s="20" t="s">
        <v>161</v>
      </c>
      <c r="F195" s="20" t="s">
        <v>89</v>
      </c>
      <c r="G195" s="20" t="s">
        <v>68</v>
      </c>
      <c r="H195" s="20" t="s">
        <v>97</v>
      </c>
      <c r="I195" s="20" t="s">
        <v>1189</v>
      </c>
      <c r="J195" s="20" t="s">
        <v>97</v>
      </c>
      <c r="K195" s="20" t="s">
        <v>1190</v>
      </c>
      <c r="L195" s="20" t="s">
        <v>1057</v>
      </c>
      <c r="M195" s="21" t="s">
        <v>35</v>
      </c>
      <c r="N195" s="22"/>
      <c r="O195" s="22"/>
      <c r="P195" s="22"/>
      <c r="Q195" s="22"/>
    </row>
    <row r="196" customFormat="false" ht="34.5" hidden="false" customHeight="true" outlineLevel="0" collapsed="false">
      <c r="A196" s="20" t="s">
        <v>1191</v>
      </c>
      <c r="B196" s="20" t="s">
        <v>47</v>
      </c>
      <c r="C196" s="20" t="s">
        <v>992</v>
      </c>
      <c r="D196" s="20" t="s">
        <v>1192</v>
      </c>
      <c r="E196" s="20" t="s">
        <v>66</v>
      </c>
      <c r="F196" s="20" t="s">
        <v>89</v>
      </c>
      <c r="G196" s="20" t="s">
        <v>442</v>
      </c>
      <c r="H196" s="20" t="s">
        <v>1193</v>
      </c>
      <c r="I196" s="20" t="s">
        <v>1194</v>
      </c>
      <c r="J196" s="20" t="s">
        <v>97</v>
      </c>
      <c r="K196" s="20" t="s">
        <v>1195</v>
      </c>
      <c r="L196" s="20" t="s">
        <v>1196</v>
      </c>
      <c r="M196" s="21" t="s">
        <v>32</v>
      </c>
      <c r="N196" s="22" t="s">
        <v>1197</v>
      </c>
      <c r="O196" s="22" t="s">
        <v>131</v>
      </c>
      <c r="P196" s="22" t="s">
        <v>132</v>
      </c>
      <c r="Q196" s="22"/>
    </row>
    <row r="197" customFormat="false" ht="34.5" hidden="false" customHeight="true" outlineLevel="0" collapsed="false">
      <c r="A197" s="20" t="s">
        <v>1198</v>
      </c>
      <c r="B197" s="20" t="s">
        <v>47</v>
      </c>
      <c r="C197" s="20" t="s">
        <v>992</v>
      </c>
      <c r="D197" s="20" t="s">
        <v>1199</v>
      </c>
      <c r="E197" s="20" t="s">
        <v>66</v>
      </c>
      <c r="F197" s="20" t="s">
        <v>89</v>
      </c>
      <c r="G197" s="20" t="s">
        <v>442</v>
      </c>
      <c r="H197" s="20" t="s">
        <v>1200</v>
      </c>
      <c r="I197" s="20" t="s">
        <v>1201</v>
      </c>
      <c r="J197" s="20" t="s">
        <v>97</v>
      </c>
      <c r="K197" s="20" t="s">
        <v>1202</v>
      </c>
      <c r="L197" s="20" t="s">
        <v>1196</v>
      </c>
      <c r="M197" s="21" t="s">
        <v>32</v>
      </c>
      <c r="N197" s="22" t="s">
        <v>1197</v>
      </c>
      <c r="O197" s="22" t="s">
        <v>131</v>
      </c>
      <c r="P197" s="22" t="s">
        <v>132</v>
      </c>
      <c r="Q197" s="22"/>
    </row>
    <row r="198" customFormat="false" ht="34.5" hidden="false" customHeight="true" outlineLevel="0" collapsed="false">
      <c r="A198" s="20" t="s">
        <v>1203</v>
      </c>
      <c r="B198" s="20" t="s">
        <v>47</v>
      </c>
      <c r="C198" s="20" t="s">
        <v>992</v>
      </c>
      <c r="D198" s="20" t="s">
        <v>1204</v>
      </c>
      <c r="E198" s="20" t="s">
        <v>66</v>
      </c>
      <c r="F198" s="20" t="s">
        <v>89</v>
      </c>
      <c r="G198" s="20" t="s">
        <v>442</v>
      </c>
      <c r="H198" s="20" t="s">
        <v>1205</v>
      </c>
      <c r="I198" s="20" t="s">
        <v>1206</v>
      </c>
      <c r="J198" s="20" t="s">
        <v>97</v>
      </c>
      <c r="K198" s="20" t="s">
        <v>1207</v>
      </c>
      <c r="L198" s="20" t="s">
        <v>1196</v>
      </c>
      <c r="M198" s="21" t="s">
        <v>32</v>
      </c>
      <c r="N198" s="22" t="s">
        <v>1197</v>
      </c>
      <c r="O198" s="22" t="s">
        <v>131</v>
      </c>
      <c r="P198" s="22" t="s">
        <v>132</v>
      </c>
      <c r="Q198" s="22"/>
    </row>
    <row r="199" customFormat="false" ht="34.5" hidden="false" customHeight="true" outlineLevel="0" collapsed="false">
      <c r="A199" s="20" t="s">
        <v>1208</v>
      </c>
      <c r="B199" s="20" t="s">
        <v>47</v>
      </c>
      <c r="C199" s="20" t="s">
        <v>992</v>
      </c>
      <c r="D199" s="20" t="s">
        <v>1209</v>
      </c>
      <c r="E199" s="20" t="s">
        <v>161</v>
      </c>
      <c r="F199" s="20" t="s">
        <v>67</v>
      </c>
      <c r="G199" s="20" t="s">
        <v>68</v>
      </c>
      <c r="H199" s="20" t="s">
        <v>97</v>
      </c>
      <c r="I199" s="20" t="s">
        <v>1210</v>
      </c>
      <c r="J199" s="20" t="s">
        <v>97</v>
      </c>
      <c r="K199" s="20" t="s">
        <v>1211</v>
      </c>
      <c r="L199" s="20" t="s">
        <v>1196</v>
      </c>
      <c r="M199" s="21" t="s">
        <v>35</v>
      </c>
      <c r="N199" s="22"/>
      <c r="O199" s="22"/>
      <c r="P199" s="22"/>
      <c r="Q199" s="22"/>
    </row>
    <row r="200" customFormat="false" ht="34.5" hidden="false" customHeight="true" outlineLevel="0" collapsed="false">
      <c r="A200" s="20" t="s">
        <v>1212</v>
      </c>
      <c r="B200" s="20" t="s">
        <v>47</v>
      </c>
      <c r="C200" s="20" t="s">
        <v>992</v>
      </c>
      <c r="D200" s="20" t="s">
        <v>1213</v>
      </c>
      <c r="E200" s="20" t="s">
        <v>118</v>
      </c>
      <c r="F200" s="20" t="s">
        <v>76</v>
      </c>
      <c r="G200" s="20" t="s">
        <v>306</v>
      </c>
      <c r="H200" s="20" t="s">
        <v>1214</v>
      </c>
      <c r="I200" s="20" t="s">
        <v>1215</v>
      </c>
      <c r="J200" s="20" t="s">
        <v>97</v>
      </c>
      <c r="K200" s="20" t="s">
        <v>1216</v>
      </c>
      <c r="L200" s="20" t="s">
        <v>1217</v>
      </c>
      <c r="M200" s="21" t="s">
        <v>32</v>
      </c>
      <c r="N200" s="22" t="s">
        <v>1218</v>
      </c>
      <c r="O200" s="22" t="s">
        <v>131</v>
      </c>
      <c r="P200" s="22" t="s">
        <v>132</v>
      </c>
      <c r="Q200" s="22"/>
    </row>
    <row r="201" customFormat="false" ht="34.5" hidden="false" customHeight="true" outlineLevel="0" collapsed="false">
      <c r="A201" s="20" t="s">
        <v>1219</v>
      </c>
      <c r="B201" s="20" t="s">
        <v>47</v>
      </c>
      <c r="C201" s="20" t="s">
        <v>1220</v>
      </c>
      <c r="D201" s="20" t="s">
        <v>1221</v>
      </c>
      <c r="E201" s="20" t="s">
        <v>96</v>
      </c>
      <c r="F201" s="20" t="s">
        <v>89</v>
      </c>
      <c r="G201" s="20" t="s">
        <v>68</v>
      </c>
      <c r="H201" s="20" t="s">
        <v>1222</v>
      </c>
      <c r="I201" s="20" t="s">
        <v>1223</v>
      </c>
      <c r="J201" s="20" t="s">
        <v>192</v>
      </c>
      <c r="K201" s="20" t="s">
        <v>1224</v>
      </c>
      <c r="L201" s="20" t="s">
        <v>1225</v>
      </c>
      <c r="M201" s="21" t="s">
        <v>35</v>
      </c>
      <c r="N201" s="22"/>
      <c r="O201" s="22"/>
      <c r="P201" s="22"/>
      <c r="Q201" s="22"/>
    </row>
    <row r="202" customFormat="false" ht="34.5" hidden="false" customHeight="true" outlineLevel="0" collapsed="false">
      <c r="A202" s="20" t="s">
        <v>1226</v>
      </c>
      <c r="B202" s="20" t="s">
        <v>47</v>
      </c>
      <c r="C202" s="20" t="s">
        <v>1220</v>
      </c>
      <c r="D202" s="20" t="s">
        <v>1227</v>
      </c>
      <c r="E202" s="20" t="s">
        <v>66</v>
      </c>
      <c r="F202" s="20" t="s">
        <v>89</v>
      </c>
      <c r="G202" s="20" t="s">
        <v>68</v>
      </c>
      <c r="H202" s="20" t="s">
        <v>1228</v>
      </c>
      <c r="I202" s="20" t="s">
        <v>1229</v>
      </c>
      <c r="J202" s="20" t="s">
        <v>97</v>
      </c>
      <c r="K202" s="20" t="s">
        <v>1230</v>
      </c>
      <c r="L202" s="20" t="s">
        <v>1231</v>
      </c>
      <c r="M202" s="21" t="s">
        <v>35</v>
      </c>
      <c r="N202" s="22"/>
      <c r="O202" s="22"/>
      <c r="P202" s="22"/>
      <c r="Q202" s="22"/>
    </row>
    <row r="203" customFormat="false" ht="34.5" hidden="false" customHeight="true" outlineLevel="0" collapsed="false">
      <c r="A203" s="20" t="s">
        <v>1232</v>
      </c>
      <c r="B203" s="20" t="s">
        <v>47</v>
      </c>
      <c r="C203" s="20" t="s">
        <v>1233</v>
      </c>
      <c r="D203" s="20" t="s">
        <v>1234</v>
      </c>
      <c r="E203" s="20" t="s">
        <v>66</v>
      </c>
      <c r="F203" s="20" t="s">
        <v>76</v>
      </c>
      <c r="G203" s="20" t="s">
        <v>68</v>
      </c>
      <c r="H203" s="20" t="s">
        <v>1235</v>
      </c>
      <c r="I203" s="20" t="s">
        <v>1236</v>
      </c>
      <c r="J203" s="20" t="s">
        <v>1237</v>
      </c>
      <c r="K203" s="20" t="s">
        <v>1238</v>
      </c>
      <c r="L203" s="20" t="s">
        <v>1239</v>
      </c>
      <c r="M203" s="21" t="s">
        <v>35</v>
      </c>
      <c r="N203" s="22"/>
      <c r="O203" s="22"/>
      <c r="P203" s="22"/>
      <c r="Q203" s="22"/>
    </row>
    <row r="204" customFormat="false" ht="34.5" hidden="false" customHeight="true" outlineLevel="0" collapsed="false">
      <c r="A204" s="20" t="s">
        <v>1240</v>
      </c>
      <c r="B204" s="20" t="s">
        <v>47</v>
      </c>
      <c r="C204" s="20" t="s">
        <v>1233</v>
      </c>
      <c r="D204" s="20" t="s">
        <v>1241</v>
      </c>
      <c r="E204" s="20" t="s">
        <v>96</v>
      </c>
      <c r="F204" s="20" t="s">
        <v>76</v>
      </c>
      <c r="G204" s="20" t="s">
        <v>68</v>
      </c>
      <c r="H204" s="20" t="s">
        <v>97</v>
      </c>
      <c r="I204" s="20" t="s">
        <v>1242</v>
      </c>
      <c r="J204" s="20" t="s">
        <v>1243</v>
      </c>
      <c r="K204" s="20" t="s">
        <v>1244</v>
      </c>
      <c r="L204" s="20" t="s">
        <v>1245</v>
      </c>
      <c r="M204" s="21" t="s">
        <v>35</v>
      </c>
      <c r="N204" s="22"/>
      <c r="O204" s="22"/>
      <c r="P204" s="22"/>
      <c r="Q204" s="22"/>
    </row>
    <row r="205" customFormat="false" ht="34.5" hidden="false" customHeight="true" outlineLevel="0" collapsed="false">
      <c r="A205" s="20" t="s">
        <v>1246</v>
      </c>
      <c r="B205" s="20" t="s">
        <v>47</v>
      </c>
      <c r="C205" s="20" t="s">
        <v>1247</v>
      </c>
      <c r="D205" s="20" t="s">
        <v>1248</v>
      </c>
      <c r="E205" s="20" t="s">
        <v>66</v>
      </c>
      <c r="F205" s="20" t="s">
        <v>89</v>
      </c>
      <c r="G205" s="20" t="s">
        <v>810</v>
      </c>
      <c r="H205" s="20" t="s">
        <v>1249</v>
      </c>
      <c r="I205" s="20" t="s">
        <v>1250</v>
      </c>
      <c r="J205" s="20" t="s">
        <v>97</v>
      </c>
      <c r="K205" s="20" t="s">
        <v>1251</v>
      </c>
      <c r="L205" s="20" t="s">
        <v>1252</v>
      </c>
      <c r="M205" s="21" t="s">
        <v>35</v>
      </c>
      <c r="N205" s="22"/>
      <c r="O205" s="22"/>
      <c r="P205" s="22"/>
      <c r="Q205" s="22"/>
    </row>
    <row r="206" customFormat="false" ht="34.5" hidden="false" customHeight="true" outlineLevel="0" collapsed="false">
      <c r="A206" s="20" t="s">
        <v>1253</v>
      </c>
      <c r="B206" s="20" t="s">
        <v>47</v>
      </c>
      <c r="C206" s="20" t="s">
        <v>1247</v>
      </c>
      <c r="D206" s="20" t="s">
        <v>1254</v>
      </c>
      <c r="E206" s="20" t="s">
        <v>66</v>
      </c>
      <c r="F206" s="20" t="s">
        <v>89</v>
      </c>
      <c r="G206" s="20" t="s">
        <v>306</v>
      </c>
      <c r="H206" s="20" t="s">
        <v>1255</v>
      </c>
      <c r="I206" s="20" t="s">
        <v>1256</v>
      </c>
      <c r="J206" s="20" t="s">
        <v>97</v>
      </c>
      <c r="K206" s="20" t="s">
        <v>1257</v>
      </c>
      <c r="L206" s="20" t="s">
        <v>1258</v>
      </c>
      <c r="M206" s="21" t="s">
        <v>35</v>
      </c>
      <c r="N206" s="22"/>
      <c r="O206" s="22"/>
      <c r="P206" s="22"/>
      <c r="Q206" s="22"/>
    </row>
    <row r="207" customFormat="false" ht="34.5" hidden="false" customHeight="true" outlineLevel="0" collapsed="false">
      <c r="A207" s="20" t="s">
        <v>1259</v>
      </c>
      <c r="B207" s="20" t="s">
        <v>47</v>
      </c>
      <c r="C207" s="20" t="s">
        <v>1247</v>
      </c>
      <c r="D207" s="20" t="s">
        <v>1260</v>
      </c>
      <c r="E207" s="20" t="s">
        <v>66</v>
      </c>
      <c r="F207" s="20" t="s">
        <v>76</v>
      </c>
      <c r="G207" s="20" t="s">
        <v>306</v>
      </c>
      <c r="H207" s="20" t="s">
        <v>1261</v>
      </c>
      <c r="I207" s="20" t="s">
        <v>1262</v>
      </c>
      <c r="J207" s="20" t="s">
        <v>1263</v>
      </c>
      <c r="K207" s="20" t="s">
        <v>1264</v>
      </c>
      <c r="L207" s="20" t="s">
        <v>1265</v>
      </c>
      <c r="M207" s="21" t="s">
        <v>35</v>
      </c>
      <c r="N207" s="22"/>
      <c r="O207" s="22"/>
      <c r="P207" s="22"/>
      <c r="Q207" s="22"/>
    </row>
    <row r="208" customFormat="false" ht="34.5" hidden="false" customHeight="true" outlineLevel="0" collapsed="false">
      <c r="A208" s="20" t="s">
        <v>1266</v>
      </c>
      <c r="B208" s="20" t="s">
        <v>47</v>
      </c>
      <c r="C208" s="20" t="s">
        <v>1019</v>
      </c>
      <c r="D208" s="20" t="s">
        <v>1267</v>
      </c>
      <c r="E208" s="20" t="s">
        <v>66</v>
      </c>
      <c r="F208" s="20" t="s">
        <v>89</v>
      </c>
      <c r="G208" s="20" t="s">
        <v>306</v>
      </c>
      <c r="H208" s="20" t="s">
        <v>97</v>
      </c>
      <c r="I208" s="20" t="s">
        <v>1268</v>
      </c>
      <c r="J208" s="20" t="s">
        <v>1269</v>
      </c>
      <c r="K208" s="20" t="s">
        <v>1270</v>
      </c>
      <c r="L208" s="20" t="s">
        <v>1271</v>
      </c>
      <c r="M208" s="21" t="s">
        <v>35</v>
      </c>
      <c r="N208" s="22"/>
      <c r="O208" s="22"/>
      <c r="P208" s="22"/>
      <c r="Q208" s="22"/>
    </row>
    <row r="209" customFormat="false" ht="34.5" hidden="false" customHeight="true" outlineLevel="0" collapsed="false">
      <c r="A209" s="20" t="s">
        <v>1272</v>
      </c>
      <c r="B209" s="20" t="s">
        <v>48</v>
      </c>
      <c r="C209" s="20" t="s">
        <v>1273</v>
      </c>
      <c r="D209" s="20" t="s">
        <v>1274</v>
      </c>
      <c r="E209" s="20" t="s">
        <v>215</v>
      </c>
      <c r="F209" s="20" t="s">
        <v>89</v>
      </c>
      <c r="G209" s="20" t="s">
        <v>68</v>
      </c>
      <c r="H209" s="20" t="s">
        <v>1275</v>
      </c>
      <c r="I209" s="20" t="s">
        <v>1276</v>
      </c>
      <c r="J209" s="20" t="s">
        <v>1277</v>
      </c>
      <c r="K209" s="20" t="s">
        <v>1278</v>
      </c>
      <c r="L209" s="20" t="s">
        <v>1279</v>
      </c>
      <c r="M209" s="21" t="s">
        <v>32</v>
      </c>
      <c r="N209" s="22" t="s">
        <v>1280</v>
      </c>
      <c r="O209" s="22" t="s">
        <v>131</v>
      </c>
      <c r="P209" s="22" t="s">
        <v>132</v>
      </c>
      <c r="Q209" s="22"/>
    </row>
    <row r="210" customFormat="false" ht="34.5" hidden="false" customHeight="true" outlineLevel="0" collapsed="false">
      <c r="A210" s="20" t="s">
        <v>1281</v>
      </c>
      <c r="B210" s="20" t="s">
        <v>48</v>
      </c>
      <c r="C210" s="20" t="s">
        <v>1273</v>
      </c>
      <c r="D210" s="20" t="s">
        <v>1282</v>
      </c>
      <c r="E210" s="20" t="s">
        <v>215</v>
      </c>
      <c r="F210" s="20" t="s">
        <v>89</v>
      </c>
      <c r="G210" s="20" t="s">
        <v>68</v>
      </c>
      <c r="H210" s="20" t="s">
        <v>1283</v>
      </c>
      <c r="I210" s="20" t="s">
        <v>1284</v>
      </c>
      <c r="J210" s="20" t="s">
        <v>1285</v>
      </c>
      <c r="K210" s="20" t="s">
        <v>1286</v>
      </c>
      <c r="L210" s="20" t="s">
        <v>1279</v>
      </c>
      <c r="M210" s="21" t="s">
        <v>32</v>
      </c>
      <c r="N210" s="22" t="s">
        <v>1280</v>
      </c>
      <c r="O210" s="22" t="s">
        <v>131</v>
      </c>
      <c r="P210" s="22" t="s">
        <v>132</v>
      </c>
      <c r="Q210" s="22"/>
    </row>
    <row r="211" customFormat="false" ht="34.5" hidden="false" customHeight="true" outlineLevel="0" collapsed="false">
      <c r="A211" s="20" t="s">
        <v>1287</v>
      </c>
      <c r="B211" s="20" t="s">
        <v>48</v>
      </c>
      <c r="C211" s="20" t="s">
        <v>1273</v>
      </c>
      <c r="D211" s="20" t="s">
        <v>1288</v>
      </c>
      <c r="E211" s="20" t="s">
        <v>215</v>
      </c>
      <c r="F211" s="20" t="s">
        <v>89</v>
      </c>
      <c r="G211" s="20" t="s">
        <v>68</v>
      </c>
      <c r="H211" s="20" t="s">
        <v>1283</v>
      </c>
      <c r="I211" s="20" t="s">
        <v>1289</v>
      </c>
      <c r="J211" s="20" t="s">
        <v>1290</v>
      </c>
      <c r="K211" s="20" t="s">
        <v>1286</v>
      </c>
      <c r="L211" s="20" t="s">
        <v>1279</v>
      </c>
      <c r="M211" s="21" t="s">
        <v>32</v>
      </c>
      <c r="N211" s="22" t="s">
        <v>1280</v>
      </c>
      <c r="O211" s="22" t="s">
        <v>131</v>
      </c>
      <c r="P211" s="22" t="s">
        <v>132</v>
      </c>
      <c r="Q211" s="22"/>
    </row>
    <row r="212" customFormat="false" ht="34.5" hidden="false" customHeight="true" outlineLevel="0" collapsed="false">
      <c r="A212" s="20" t="s">
        <v>1291</v>
      </c>
      <c r="B212" s="20" t="s">
        <v>48</v>
      </c>
      <c r="C212" s="20" t="s">
        <v>1273</v>
      </c>
      <c r="D212" s="20" t="s">
        <v>1292</v>
      </c>
      <c r="E212" s="20" t="s">
        <v>215</v>
      </c>
      <c r="F212" s="20" t="s">
        <v>89</v>
      </c>
      <c r="G212" s="20" t="s">
        <v>68</v>
      </c>
      <c r="H212" s="20" t="s">
        <v>1283</v>
      </c>
      <c r="I212" s="20" t="s">
        <v>1293</v>
      </c>
      <c r="J212" s="20" t="s">
        <v>1294</v>
      </c>
      <c r="K212" s="20" t="s">
        <v>1295</v>
      </c>
      <c r="L212" s="20" t="s">
        <v>1279</v>
      </c>
      <c r="M212" s="21" t="s">
        <v>32</v>
      </c>
      <c r="N212" s="22" t="s">
        <v>1280</v>
      </c>
      <c r="O212" s="22" t="s">
        <v>131</v>
      </c>
      <c r="P212" s="22" t="s">
        <v>132</v>
      </c>
      <c r="Q212" s="22"/>
    </row>
    <row r="213" customFormat="false" ht="15" hidden="false" customHeight="true" outlineLevel="0" collapsed="false">
      <c r="A213" s="20" t="s">
        <v>1296</v>
      </c>
      <c r="B213" s="20" t="s">
        <v>48</v>
      </c>
      <c r="C213" s="20" t="s">
        <v>1297</v>
      </c>
      <c r="D213" s="20" t="s">
        <v>1298</v>
      </c>
      <c r="E213" s="20" t="s">
        <v>66</v>
      </c>
      <c r="F213" s="20" t="s">
        <v>89</v>
      </c>
      <c r="G213" s="20" t="s">
        <v>442</v>
      </c>
      <c r="H213" s="20" t="s">
        <v>1299</v>
      </c>
      <c r="I213" s="20" t="s">
        <v>995</v>
      </c>
      <c r="J213" s="20" t="s">
        <v>97</v>
      </c>
      <c r="K213" s="20" t="s">
        <v>1300</v>
      </c>
      <c r="L213" s="20" t="s">
        <v>1301</v>
      </c>
      <c r="M213" s="21" t="s">
        <v>35</v>
      </c>
      <c r="N213" s="22"/>
      <c r="O213" s="22"/>
      <c r="P213" s="22"/>
      <c r="Q213" s="22"/>
    </row>
    <row r="214" customFormat="false" ht="34.5" hidden="false" customHeight="true" outlineLevel="0" collapsed="false">
      <c r="A214" s="20" t="s">
        <v>1302</v>
      </c>
      <c r="B214" s="20" t="s">
        <v>48</v>
      </c>
      <c r="C214" s="20" t="s">
        <v>1303</v>
      </c>
      <c r="D214" s="20" t="s">
        <v>1304</v>
      </c>
      <c r="E214" s="20" t="s">
        <v>66</v>
      </c>
      <c r="F214" s="20" t="s">
        <v>89</v>
      </c>
      <c r="G214" s="20" t="s">
        <v>68</v>
      </c>
      <c r="H214" s="20" t="s">
        <v>1305</v>
      </c>
      <c r="I214" s="20" t="s">
        <v>1306</v>
      </c>
      <c r="J214" s="20" t="s">
        <v>1307</v>
      </c>
      <c r="K214" s="20" t="s">
        <v>1308</v>
      </c>
      <c r="L214" s="20" t="s">
        <v>1309</v>
      </c>
      <c r="M214" s="21" t="s">
        <v>32</v>
      </c>
      <c r="N214" s="22" t="s">
        <v>1310</v>
      </c>
      <c r="O214" s="22" t="s">
        <v>131</v>
      </c>
      <c r="P214" s="22" t="s">
        <v>132</v>
      </c>
      <c r="Q214" s="22"/>
    </row>
    <row r="215" customFormat="false" ht="34.5" hidden="false" customHeight="true" outlineLevel="0" collapsed="false">
      <c r="A215" s="20" t="s">
        <v>1311</v>
      </c>
      <c r="B215" s="20" t="s">
        <v>48</v>
      </c>
      <c r="C215" s="20" t="s">
        <v>1303</v>
      </c>
      <c r="D215" s="20" t="s">
        <v>1312</v>
      </c>
      <c r="E215" s="20" t="s">
        <v>118</v>
      </c>
      <c r="F215" s="20" t="s">
        <v>89</v>
      </c>
      <c r="G215" s="20" t="s">
        <v>68</v>
      </c>
      <c r="H215" s="20" t="s">
        <v>1313</v>
      </c>
      <c r="I215" s="20" t="s">
        <v>1314</v>
      </c>
      <c r="J215" s="20" t="s">
        <v>97</v>
      </c>
      <c r="K215" s="20" t="s">
        <v>1315</v>
      </c>
      <c r="L215" s="20" t="s">
        <v>1309</v>
      </c>
      <c r="M215" s="21" t="s">
        <v>32</v>
      </c>
      <c r="N215" s="22" t="s">
        <v>1310</v>
      </c>
      <c r="O215" s="22" t="s">
        <v>131</v>
      </c>
      <c r="P215" s="22" t="s">
        <v>132</v>
      </c>
      <c r="Q215" s="22"/>
    </row>
    <row r="216" customFormat="false" ht="34.5" hidden="false" customHeight="true" outlineLevel="0" collapsed="false">
      <c r="A216" s="20" t="s">
        <v>1316</v>
      </c>
      <c r="B216" s="20" t="s">
        <v>48</v>
      </c>
      <c r="C216" s="20" t="s">
        <v>1303</v>
      </c>
      <c r="D216" s="20" t="s">
        <v>1317</v>
      </c>
      <c r="E216" s="20" t="s">
        <v>215</v>
      </c>
      <c r="F216" s="20" t="s">
        <v>89</v>
      </c>
      <c r="G216" s="20" t="s">
        <v>68</v>
      </c>
      <c r="H216" s="20" t="s">
        <v>1318</v>
      </c>
      <c r="I216" s="20" t="s">
        <v>1319</v>
      </c>
      <c r="J216" s="20" t="s">
        <v>97</v>
      </c>
      <c r="K216" s="20" t="s">
        <v>1320</v>
      </c>
      <c r="L216" s="20" t="s">
        <v>1309</v>
      </c>
      <c r="M216" s="21" t="s">
        <v>32</v>
      </c>
      <c r="N216" s="22" t="s">
        <v>1310</v>
      </c>
      <c r="O216" s="22" t="s">
        <v>131</v>
      </c>
      <c r="P216" s="22" t="s">
        <v>132</v>
      </c>
      <c r="Q216" s="22"/>
    </row>
    <row r="217" customFormat="false" ht="34.5" hidden="false" customHeight="true" outlineLevel="0" collapsed="false">
      <c r="A217" s="20" t="s">
        <v>1321</v>
      </c>
      <c r="B217" s="20" t="s">
        <v>48</v>
      </c>
      <c r="C217" s="20" t="s">
        <v>1303</v>
      </c>
      <c r="D217" s="20" t="s">
        <v>1322</v>
      </c>
      <c r="E217" s="20" t="s">
        <v>81</v>
      </c>
      <c r="F217" s="20" t="s">
        <v>67</v>
      </c>
      <c r="G217" s="20" t="s">
        <v>68</v>
      </c>
      <c r="H217" s="20" t="s">
        <v>1323</v>
      </c>
      <c r="I217" s="20" t="s">
        <v>1324</v>
      </c>
      <c r="J217" s="20" t="s">
        <v>1325</v>
      </c>
      <c r="K217" s="20" t="s">
        <v>1326</v>
      </c>
      <c r="L217" s="20" t="s">
        <v>1309</v>
      </c>
      <c r="M217" s="21" t="s">
        <v>32</v>
      </c>
      <c r="N217" s="22" t="s">
        <v>1310</v>
      </c>
      <c r="O217" s="22" t="s">
        <v>131</v>
      </c>
      <c r="P217" s="22" t="s">
        <v>132</v>
      </c>
      <c r="Q217" s="22"/>
    </row>
    <row r="218" customFormat="false" ht="34.5" hidden="false" customHeight="true" outlineLevel="0" collapsed="false">
      <c r="A218" s="20" t="s">
        <v>1327</v>
      </c>
      <c r="B218" s="20" t="s">
        <v>48</v>
      </c>
      <c r="C218" s="20" t="s">
        <v>1303</v>
      </c>
      <c r="D218" s="20" t="s">
        <v>1328</v>
      </c>
      <c r="E218" s="20" t="s">
        <v>118</v>
      </c>
      <c r="F218" s="20" t="s">
        <v>76</v>
      </c>
      <c r="G218" s="20" t="s">
        <v>68</v>
      </c>
      <c r="H218" s="20" t="s">
        <v>1329</v>
      </c>
      <c r="I218" s="20" t="s">
        <v>1330</v>
      </c>
      <c r="J218" s="20" t="s">
        <v>1237</v>
      </c>
      <c r="K218" s="20" t="s">
        <v>1331</v>
      </c>
      <c r="L218" s="20" t="s">
        <v>1309</v>
      </c>
      <c r="M218" s="21" t="s">
        <v>32</v>
      </c>
      <c r="N218" s="22" t="s">
        <v>1310</v>
      </c>
      <c r="O218" s="22" t="s">
        <v>131</v>
      </c>
      <c r="P218" s="22" t="s">
        <v>132</v>
      </c>
      <c r="Q218" s="22"/>
    </row>
    <row r="219" customFormat="false" ht="34.5" hidden="false" customHeight="true" outlineLevel="0" collapsed="false">
      <c r="A219" s="20" t="s">
        <v>1332</v>
      </c>
      <c r="B219" s="20" t="s">
        <v>48</v>
      </c>
      <c r="C219" s="20" t="s">
        <v>1297</v>
      </c>
      <c r="D219" s="20" t="s">
        <v>1333</v>
      </c>
      <c r="E219" s="20" t="s">
        <v>154</v>
      </c>
      <c r="F219" s="20" t="s">
        <v>119</v>
      </c>
      <c r="G219" s="20" t="s">
        <v>306</v>
      </c>
      <c r="H219" s="20" t="s">
        <v>97</v>
      </c>
      <c r="I219" s="20" t="s">
        <v>1334</v>
      </c>
      <c r="J219" s="20" t="s">
        <v>97</v>
      </c>
      <c r="K219" s="20" t="s">
        <v>1335</v>
      </c>
      <c r="L219" s="20" t="s">
        <v>1336</v>
      </c>
      <c r="M219" s="21" t="s">
        <v>35</v>
      </c>
      <c r="N219" s="22"/>
      <c r="O219" s="22"/>
      <c r="P219" s="22"/>
      <c r="Q219" s="22"/>
    </row>
    <row r="220" customFormat="false" ht="34.5" hidden="false" customHeight="true" outlineLevel="0" collapsed="false">
      <c r="A220" s="20" t="s">
        <v>1337</v>
      </c>
      <c r="B220" s="20" t="s">
        <v>49</v>
      </c>
      <c r="C220" s="20" t="s">
        <v>1338</v>
      </c>
      <c r="D220" s="20" t="s">
        <v>1339</v>
      </c>
      <c r="E220" s="20" t="s">
        <v>66</v>
      </c>
      <c r="F220" s="20" t="s">
        <v>67</v>
      </c>
      <c r="G220" s="20" t="s">
        <v>542</v>
      </c>
      <c r="H220" s="20" t="s">
        <v>1340</v>
      </c>
      <c r="I220" s="20" t="s">
        <v>1341</v>
      </c>
      <c r="J220" s="20" t="s">
        <v>1342</v>
      </c>
      <c r="K220" s="20" t="s">
        <v>1343</v>
      </c>
      <c r="L220" s="20" t="s">
        <v>1344</v>
      </c>
      <c r="M220" s="21" t="s">
        <v>35</v>
      </c>
      <c r="N220" s="22"/>
      <c r="O220" s="22"/>
      <c r="P220" s="22"/>
      <c r="Q220" s="22"/>
    </row>
    <row r="221" customFormat="false" ht="34.5" hidden="false" customHeight="true" outlineLevel="0" collapsed="false">
      <c r="A221" s="20" t="s">
        <v>1345</v>
      </c>
      <c r="B221" s="20" t="s">
        <v>49</v>
      </c>
      <c r="C221" s="20" t="s">
        <v>1338</v>
      </c>
      <c r="D221" s="20" t="s">
        <v>1346</v>
      </c>
      <c r="E221" s="20" t="s">
        <v>96</v>
      </c>
      <c r="F221" s="20" t="s">
        <v>89</v>
      </c>
      <c r="G221" s="20" t="s">
        <v>542</v>
      </c>
      <c r="H221" s="20" t="s">
        <v>97</v>
      </c>
      <c r="I221" s="20" t="s">
        <v>1347</v>
      </c>
      <c r="J221" s="20" t="s">
        <v>1348</v>
      </c>
      <c r="K221" s="20" t="s">
        <v>1028</v>
      </c>
      <c r="L221" s="20" t="s">
        <v>1344</v>
      </c>
      <c r="M221" s="21" t="s">
        <v>35</v>
      </c>
      <c r="N221" s="22"/>
      <c r="O221" s="22"/>
      <c r="P221" s="22"/>
      <c r="Q221" s="22"/>
    </row>
    <row r="222" customFormat="false" ht="34.5" hidden="false" customHeight="true" outlineLevel="0" collapsed="false">
      <c r="A222" s="20" t="s">
        <v>1349</v>
      </c>
      <c r="B222" s="20" t="s">
        <v>49</v>
      </c>
      <c r="C222" s="20" t="s">
        <v>1338</v>
      </c>
      <c r="D222" s="20" t="s">
        <v>1350</v>
      </c>
      <c r="E222" s="20" t="s">
        <v>118</v>
      </c>
      <c r="F222" s="20" t="s">
        <v>119</v>
      </c>
      <c r="G222" s="20" t="s">
        <v>542</v>
      </c>
      <c r="H222" s="20" t="s">
        <v>97</v>
      </c>
      <c r="I222" s="20" t="s">
        <v>1351</v>
      </c>
      <c r="J222" s="20" t="s">
        <v>1352</v>
      </c>
      <c r="K222" s="20" t="s">
        <v>1353</v>
      </c>
      <c r="L222" s="20" t="s">
        <v>1344</v>
      </c>
      <c r="M222" s="21" t="s">
        <v>35</v>
      </c>
      <c r="N222" s="22"/>
      <c r="O222" s="22"/>
      <c r="P222" s="22"/>
      <c r="Q222" s="22"/>
    </row>
    <row r="223" customFormat="false" ht="34.5" hidden="false" customHeight="true" outlineLevel="0" collapsed="false">
      <c r="A223" s="20" t="s">
        <v>1354</v>
      </c>
      <c r="B223" s="20" t="s">
        <v>49</v>
      </c>
      <c r="C223" s="20" t="s">
        <v>1355</v>
      </c>
      <c r="D223" s="20" t="s">
        <v>1356</v>
      </c>
      <c r="E223" s="20" t="s">
        <v>66</v>
      </c>
      <c r="F223" s="20" t="s">
        <v>67</v>
      </c>
      <c r="G223" s="20" t="s">
        <v>542</v>
      </c>
      <c r="H223" s="20" t="s">
        <v>1357</v>
      </c>
      <c r="I223" s="20" t="s">
        <v>1358</v>
      </c>
      <c r="J223" s="20" t="s">
        <v>1359</v>
      </c>
      <c r="K223" s="20" t="s">
        <v>1360</v>
      </c>
      <c r="L223" s="20" t="s">
        <v>1361</v>
      </c>
      <c r="M223" s="21" t="s">
        <v>32</v>
      </c>
      <c r="N223" s="22" t="s">
        <v>1362</v>
      </c>
      <c r="O223" s="22" t="s">
        <v>131</v>
      </c>
      <c r="P223" s="22" t="s">
        <v>132</v>
      </c>
      <c r="Q223" s="22"/>
    </row>
    <row r="224" customFormat="false" ht="34.5" hidden="false" customHeight="true" outlineLevel="0" collapsed="false">
      <c r="A224" s="20" t="s">
        <v>1363</v>
      </c>
      <c r="B224" s="20" t="s">
        <v>49</v>
      </c>
      <c r="C224" s="20" t="s">
        <v>1355</v>
      </c>
      <c r="D224" s="20" t="s">
        <v>1364</v>
      </c>
      <c r="E224" s="20" t="s">
        <v>66</v>
      </c>
      <c r="F224" s="20" t="s">
        <v>89</v>
      </c>
      <c r="G224" s="20" t="s">
        <v>542</v>
      </c>
      <c r="H224" s="20" t="s">
        <v>1365</v>
      </c>
      <c r="I224" s="20" t="s">
        <v>1366</v>
      </c>
      <c r="J224" s="20" t="s">
        <v>1367</v>
      </c>
      <c r="K224" s="20" t="s">
        <v>1368</v>
      </c>
      <c r="L224" s="20" t="s">
        <v>1361</v>
      </c>
      <c r="M224" s="21" t="s">
        <v>32</v>
      </c>
      <c r="N224" s="22" t="s">
        <v>1362</v>
      </c>
      <c r="O224" s="22" t="s">
        <v>131</v>
      </c>
      <c r="P224" s="22" t="s">
        <v>132</v>
      </c>
      <c r="Q224" s="22"/>
    </row>
    <row r="225" customFormat="false" ht="34.5" hidden="false" customHeight="true" outlineLevel="0" collapsed="false">
      <c r="A225" s="20" t="s">
        <v>1369</v>
      </c>
      <c r="B225" s="20" t="s">
        <v>49</v>
      </c>
      <c r="C225" s="20" t="s">
        <v>1355</v>
      </c>
      <c r="D225" s="20" t="s">
        <v>1370</v>
      </c>
      <c r="E225" s="20" t="s">
        <v>81</v>
      </c>
      <c r="F225" s="20" t="s">
        <v>89</v>
      </c>
      <c r="G225" s="20" t="s">
        <v>542</v>
      </c>
      <c r="H225" s="20" t="s">
        <v>1371</v>
      </c>
      <c r="I225" s="20" t="s">
        <v>1372</v>
      </c>
      <c r="J225" s="20" t="s">
        <v>97</v>
      </c>
      <c r="K225" s="20" t="s">
        <v>1373</v>
      </c>
      <c r="L225" s="20" t="s">
        <v>1361</v>
      </c>
      <c r="M225" s="21" t="s">
        <v>32</v>
      </c>
      <c r="N225" s="22" t="s">
        <v>1362</v>
      </c>
      <c r="O225" s="22" t="s">
        <v>131</v>
      </c>
      <c r="P225" s="22" t="s">
        <v>132</v>
      </c>
      <c r="Q225" s="22"/>
    </row>
    <row r="226" customFormat="false" ht="34.5" hidden="false" customHeight="true" outlineLevel="0" collapsed="false">
      <c r="A226" s="20" t="s">
        <v>1374</v>
      </c>
      <c r="B226" s="20" t="s">
        <v>49</v>
      </c>
      <c r="C226" s="20" t="s">
        <v>1355</v>
      </c>
      <c r="D226" s="20" t="s">
        <v>1375</v>
      </c>
      <c r="E226" s="20" t="s">
        <v>118</v>
      </c>
      <c r="F226" s="20" t="s">
        <v>76</v>
      </c>
      <c r="G226" s="20" t="s">
        <v>542</v>
      </c>
      <c r="H226" s="20" t="s">
        <v>1376</v>
      </c>
      <c r="I226" s="20" t="s">
        <v>1377</v>
      </c>
      <c r="J226" s="20" t="s">
        <v>1378</v>
      </c>
      <c r="K226" s="20" t="s">
        <v>1379</v>
      </c>
      <c r="L226" s="20" t="s">
        <v>1361</v>
      </c>
      <c r="M226" s="21" t="s">
        <v>32</v>
      </c>
      <c r="N226" s="22" t="s">
        <v>1362</v>
      </c>
      <c r="O226" s="22" t="s">
        <v>131</v>
      </c>
      <c r="P226" s="22" t="s">
        <v>132</v>
      </c>
      <c r="Q226" s="22"/>
    </row>
    <row r="227" customFormat="false" ht="34.5" hidden="false" customHeight="true" outlineLevel="0" collapsed="false">
      <c r="A227" s="20" t="s">
        <v>1380</v>
      </c>
      <c r="B227" s="20" t="s">
        <v>49</v>
      </c>
      <c r="C227" s="20" t="s">
        <v>1355</v>
      </c>
      <c r="D227" s="20" t="s">
        <v>1381</v>
      </c>
      <c r="E227" s="20" t="s">
        <v>118</v>
      </c>
      <c r="F227" s="20" t="s">
        <v>119</v>
      </c>
      <c r="G227" s="20" t="s">
        <v>542</v>
      </c>
      <c r="H227" s="20" t="s">
        <v>1382</v>
      </c>
      <c r="I227" s="20" t="s">
        <v>1383</v>
      </c>
      <c r="J227" s="20" t="s">
        <v>97</v>
      </c>
      <c r="K227" s="20" t="s">
        <v>1384</v>
      </c>
      <c r="L227" s="20" t="s">
        <v>1361</v>
      </c>
      <c r="M227" s="21" t="s">
        <v>32</v>
      </c>
      <c r="N227" s="22" t="s">
        <v>1362</v>
      </c>
      <c r="O227" s="22" t="s">
        <v>131</v>
      </c>
      <c r="P227" s="22" t="s">
        <v>132</v>
      </c>
      <c r="Q227" s="22"/>
    </row>
    <row r="228" customFormat="false" ht="34.5" hidden="false" customHeight="true" outlineLevel="0" collapsed="false">
      <c r="A228" s="20" t="s">
        <v>1385</v>
      </c>
      <c r="B228" s="20" t="s">
        <v>49</v>
      </c>
      <c r="C228" s="20" t="s">
        <v>1386</v>
      </c>
      <c r="D228" s="20" t="s">
        <v>1387</v>
      </c>
      <c r="E228" s="20" t="s">
        <v>66</v>
      </c>
      <c r="F228" s="20" t="s">
        <v>67</v>
      </c>
      <c r="G228" s="20" t="s">
        <v>542</v>
      </c>
      <c r="H228" s="20" t="s">
        <v>1388</v>
      </c>
      <c r="I228" s="20" t="s">
        <v>1389</v>
      </c>
      <c r="J228" s="20" t="s">
        <v>1390</v>
      </c>
      <c r="K228" s="20" t="s">
        <v>1391</v>
      </c>
      <c r="L228" s="20" t="s">
        <v>1392</v>
      </c>
      <c r="M228" s="21" t="s">
        <v>35</v>
      </c>
      <c r="N228" s="22"/>
      <c r="O228" s="22"/>
      <c r="P228" s="22"/>
      <c r="Q228" s="22"/>
    </row>
    <row r="229" customFormat="false" ht="34.5" hidden="false" customHeight="true" outlineLevel="0" collapsed="false">
      <c r="A229" s="20" t="s">
        <v>1393</v>
      </c>
      <c r="B229" s="20" t="s">
        <v>49</v>
      </c>
      <c r="C229" s="20" t="s">
        <v>1386</v>
      </c>
      <c r="D229" s="20" t="s">
        <v>1394</v>
      </c>
      <c r="E229" s="20" t="s">
        <v>96</v>
      </c>
      <c r="F229" s="20" t="s">
        <v>89</v>
      </c>
      <c r="G229" s="20" t="s">
        <v>542</v>
      </c>
      <c r="H229" s="20" t="s">
        <v>97</v>
      </c>
      <c r="I229" s="20" t="s">
        <v>1395</v>
      </c>
      <c r="J229" s="20" t="s">
        <v>97</v>
      </c>
      <c r="K229" s="20" t="s">
        <v>1028</v>
      </c>
      <c r="L229" s="20" t="s">
        <v>1392</v>
      </c>
      <c r="M229" s="21" t="s">
        <v>35</v>
      </c>
      <c r="N229" s="22"/>
      <c r="O229" s="22"/>
      <c r="P229" s="22"/>
      <c r="Q229" s="22"/>
    </row>
    <row r="230" customFormat="false" ht="34.5" hidden="false" customHeight="true" outlineLevel="0" collapsed="false">
      <c r="A230" s="20" t="s">
        <v>1396</v>
      </c>
      <c r="B230" s="20" t="s">
        <v>49</v>
      </c>
      <c r="C230" s="20" t="s">
        <v>1386</v>
      </c>
      <c r="D230" s="20" t="s">
        <v>1397</v>
      </c>
      <c r="E230" s="20" t="s">
        <v>161</v>
      </c>
      <c r="F230" s="20" t="s">
        <v>67</v>
      </c>
      <c r="G230" s="20" t="s">
        <v>68</v>
      </c>
      <c r="H230" s="20" t="s">
        <v>1398</v>
      </c>
      <c r="I230" s="20" t="s">
        <v>1399</v>
      </c>
      <c r="J230" s="20" t="s">
        <v>97</v>
      </c>
      <c r="K230" s="20" t="s">
        <v>1400</v>
      </c>
      <c r="L230" s="20" t="s">
        <v>1392</v>
      </c>
      <c r="M230" s="21" t="s">
        <v>35</v>
      </c>
      <c r="N230" s="22"/>
      <c r="O230" s="22"/>
      <c r="P230" s="22"/>
      <c r="Q230" s="22"/>
    </row>
    <row r="231" customFormat="false" ht="34.5" hidden="false" customHeight="true" outlineLevel="0" collapsed="false">
      <c r="A231" s="20" t="s">
        <v>1401</v>
      </c>
      <c r="B231" s="20" t="s">
        <v>49</v>
      </c>
      <c r="C231" s="20" t="s">
        <v>1386</v>
      </c>
      <c r="D231" s="20" t="s">
        <v>1402</v>
      </c>
      <c r="E231" s="20" t="s">
        <v>161</v>
      </c>
      <c r="F231" s="20" t="s">
        <v>89</v>
      </c>
      <c r="G231" s="20" t="s">
        <v>68</v>
      </c>
      <c r="H231" s="20" t="s">
        <v>1403</v>
      </c>
      <c r="I231" s="20" t="s">
        <v>1404</v>
      </c>
      <c r="J231" s="20" t="s">
        <v>97</v>
      </c>
      <c r="K231" s="20" t="s">
        <v>1405</v>
      </c>
      <c r="L231" s="20" t="s">
        <v>1392</v>
      </c>
      <c r="M231" s="21" t="s">
        <v>35</v>
      </c>
      <c r="N231" s="22"/>
      <c r="O231" s="22"/>
      <c r="P231" s="22"/>
      <c r="Q231" s="22"/>
    </row>
    <row r="232" customFormat="false" ht="34.5" hidden="false" customHeight="true" outlineLevel="0" collapsed="false">
      <c r="A232" s="20" t="s">
        <v>1406</v>
      </c>
      <c r="B232" s="20" t="s">
        <v>49</v>
      </c>
      <c r="C232" s="20" t="s">
        <v>1386</v>
      </c>
      <c r="D232" s="20" t="s">
        <v>1407</v>
      </c>
      <c r="E232" s="20" t="s">
        <v>66</v>
      </c>
      <c r="F232" s="20" t="s">
        <v>89</v>
      </c>
      <c r="G232" s="20" t="s">
        <v>542</v>
      </c>
      <c r="H232" s="20" t="s">
        <v>1408</v>
      </c>
      <c r="I232" s="20" t="s">
        <v>1409</v>
      </c>
      <c r="J232" s="20" t="s">
        <v>1410</v>
      </c>
      <c r="K232" s="20" t="s">
        <v>1411</v>
      </c>
      <c r="L232" s="20" t="s">
        <v>1412</v>
      </c>
      <c r="M232" s="21" t="s">
        <v>35</v>
      </c>
      <c r="N232" s="22"/>
      <c r="O232" s="22"/>
      <c r="P232" s="22"/>
      <c r="Q232" s="22"/>
    </row>
    <row r="233" customFormat="false" ht="34.5" hidden="false" customHeight="true" outlineLevel="0" collapsed="false">
      <c r="A233" s="20" t="s">
        <v>1413</v>
      </c>
      <c r="B233" s="20" t="s">
        <v>49</v>
      </c>
      <c r="C233" s="20" t="s">
        <v>1386</v>
      </c>
      <c r="D233" s="20" t="s">
        <v>1414</v>
      </c>
      <c r="E233" s="20" t="s">
        <v>81</v>
      </c>
      <c r="F233" s="20" t="s">
        <v>76</v>
      </c>
      <c r="G233" s="20" t="s">
        <v>542</v>
      </c>
      <c r="H233" s="20" t="s">
        <v>97</v>
      </c>
      <c r="I233" s="20" t="s">
        <v>1415</v>
      </c>
      <c r="J233" s="20" t="s">
        <v>97</v>
      </c>
      <c r="K233" s="20" t="s">
        <v>1416</v>
      </c>
      <c r="L233" s="20" t="s">
        <v>1412</v>
      </c>
      <c r="M233" s="21" t="s">
        <v>35</v>
      </c>
      <c r="N233" s="22"/>
      <c r="O233" s="22"/>
      <c r="P233" s="22"/>
      <c r="Q233" s="22"/>
    </row>
    <row r="234" customFormat="false" ht="23.25" hidden="false" customHeight="true" outlineLevel="0" collapsed="false">
      <c r="A234" s="20" t="s">
        <v>1417</v>
      </c>
      <c r="B234" s="20" t="s">
        <v>49</v>
      </c>
      <c r="C234" s="20" t="s">
        <v>1418</v>
      </c>
      <c r="D234" s="20" t="s">
        <v>1419</v>
      </c>
      <c r="E234" s="20" t="s">
        <v>66</v>
      </c>
      <c r="F234" s="20" t="s">
        <v>89</v>
      </c>
      <c r="G234" s="20" t="s">
        <v>542</v>
      </c>
      <c r="H234" s="20" t="s">
        <v>97</v>
      </c>
      <c r="I234" s="20" t="s">
        <v>1420</v>
      </c>
      <c r="J234" s="20" t="s">
        <v>97</v>
      </c>
      <c r="K234" s="20" t="s">
        <v>1421</v>
      </c>
      <c r="L234" s="20" t="s">
        <v>1422</v>
      </c>
      <c r="M234" s="21" t="s">
        <v>35</v>
      </c>
      <c r="N234" s="22"/>
      <c r="O234" s="22"/>
      <c r="P234" s="22"/>
      <c r="Q234" s="22"/>
    </row>
    <row r="235" customFormat="false" ht="34.5" hidden="false" customHeight="true" outlineLevel="0" collapsed="false">
      <c r="A235" s="20" t="s">
        <v>1423</v>
      </c>
      <c r="B235" s="20" t="s">
        <v>49</v>
      </c>
      <c r="C235" s="20" t="s">
        <v>1418</v>
      </c>
      <c r="D235" s="20" t="s">
        <v>1424</v>
      </c>
      <c r="E235" s="20" t="s">
        <v>66</v>
      </c>
      <c r="F235" s="20" t="s">
        <v>89</v>
      </c>
      <c r="G235" s="20" t="s">
        <v>542</v>
      </c>
      <c r="H235" s="20" t="s">
        <v>1425</v>
      </c>
      <c r="I235" s="20" t="s">
        <v>1426</v>
      </c>
      <c r="J235" s="20" t="s">
        <v>97</v>
      </c>
      <c r="K235" s="20" t="s">
        <v>1427</v>
      </c>
      <c r="L235" s="20" t="s">
        <v>1428</v>
      </c>
      <c r="M235" s="21" t="s">
        <v>35</v>
      </c>
      <c r="N235" s="22"/>
      <c r="O235" s="22"/>
      <c r="P235" s="22"/>
      <c r="Q235" s="22"/>
    </row>
    <row r="236" customFormat="false" ht="34.5" hidden="false" customHeight="true" outlineLevel="0" collapsed="false">
      <c r="A236" s="20" t="s">
        <v>1429</v>
      </c>
      <c r="B236" s="20" t="s">
        <v>50</v>
      </c>
      <c r="C236" s="20" t="s">
        <v>1418</v>
      </c>
      <c r="D236" s="20" t="s">
        <v>1430</v>
      </c>
      <c r="E236" s="20" t="s">
        <v>66</v>
      </c>
      <c r="F236" s="20" t="s">
        <v>67</v>
      </c>
      <c r="G236" s="20" t="s">
        <v>542</v>
      </c>
      <c r="H236" s="20" t="s">
        <v>1431</v>
      </c>
      <c r="I236" s="20" t="s">
        <v>1432</v>
      </c>
      <c r="J236" s="20" t="s">
        <v>1433</v>
      </c>
      <c r="K236" s="20" t="s">
        <v>1434</v>
      </c>
      <c r="L236" s="20" t="s">
        <v>1435</v>
      </c>
      <c r="M236" s="21" t="s">
        <v>32</v>
      </c>
      <c r="N236" s="22" t="s">
        <v>1436</v>
      </c>
      <c r="O236" s="22" t="s">
        <v>131</v>
      </c>
      <c r="P236" s="22" t="s">
        <v>132</v>
      </c>
      <c r="Q236" s="22"/>
    </row>
    <row r="237" customFormat="false" ht="34.5" hidden="false" customHeight="true" outlineLevel="0" collapsed="false">
      <c r="A237" s="20" t="s">
        <v>1437</v>
      </c>
      <c r="B237" s="20" t="s">
        <v>50</v>
      </c>
      <c r="C237" s="20" t="s">
        <v>1418</v>
      </c>
      <c r="D237" s="20" t="s">
        <v>1438</v>
      </c>
      <c r="E237" s="20" t="s">
        <v>118</v>
      </c>
      <c r="F237" s="20" t="s">
        <v>76</v>
      </c>
      <c r="G237" s="20" t="s">
        <v>542</v>
      </c>
      <c r="H237" s="20" t="s">
        <v>1439</v>
      </c>
      <c r="I237" s="20" t="s">
        <v>1440</v>
      </c>
      <c r="J237" s="20" t="s">
        <v>1433</v>
      </c>
      <c r="K237" s="20" t="s">
        <v>1441</v>
      </c>
      <c r="L237" s="20" t="s">
        <v>1435</v>
      </c>
      <c r="M237" s="21" t="s">
        <v>32</v>
      </c>
      <c r="N237" s="22" t="s">
        <v>1436</v>
      </c>
      <c r="O237" s="22" t="s">
        <v>131</v>
      </c>
      <c r="P237" s="22" t="s">
        <v>132</v>
      </c>
      <c r="Q237" s="22"/>
    </row>
    <row r="238" customFormat="false" ht="34.5" hidden="false" customHeight="true" outlineLevel="0" collapsed="false">
      <c r="A238" s="20" t="s">
        <v>1442</v>
      </c>
      <c r="B238" s="20" t="s">
        <v>50</v>
      </c>
      <c r="C238" s="20" t="s">
        <v>1418</v>
      </c>
      <c r="D238" s="20" t="s">
        <v>1443</v>
      </c>
      <c r="E238" s="20" t="s">
        <v>118</v>
      </c>
      <c r="F238" s="20" t="s">
        <v>76</v>
      </c>
      <c r="G238" s="20" t="s">
        <v>542</v>
      </c>
      <c r="H238" s="20" t="s">
        <v>1444</v>
      </c>
      <c r="I238" s="20" t="s">
        <v>1440</v>
      </c>
      <c r="J238" s="20" t="s">
        <v>1445</v>
      </c>
      <c r="K238" s="20" t="s">
        <v>1446</v>
      </c>
      <c r="L238" s="20" t="s">
        <v>1435</v>
      </c>
      <c r="M238" s="21" t="s">
        <v>32</v>
      </c>
      <c r="N238" s="22" t="s">
        <v>1436</v>
      </c>
      <c r="O238" s="22" t="s">
        <v>131</v>
      </c>
      <c r="P238" s="22" t="s">
        <v>132</v>
      </c>
      <c r="Q238" s="22"/>
    </row>
    <row r="239" customFormat="false" ht="34.5" hidden="false" customHeight="true" outlineLevel="0" collapsed="false">
      <c r="A239" s="20" t="s">
        <v>1447</v>
      </c>
      <c r="B239" s="20" t="s">
        <v>50</v>
      </c>
      <c r="C239" s="20" t="s">
        <v>1418</v>
      </c>
      <c r="D239" s="20" t="s">
        <v>1448</v>
      </c>
      <c r="E239" s="20" t="s">
        <v>118</v>
      </c>
      <c r="F239" s="20" t="s">
        <v>76</v>
      </c>
      <c r="G239" s="20" t="s">
        <v>542</v>
      </c>
      <c r="H239" s="20" t="s">
        <v>1449</v>
      </c>
      <c r="I239" s="20" t="s">
        <v>1450</v>
      </c>
      <c r="J239" s="20" t="s">
        <v>1451</v>
      </c>
      <c r="K239" s="20" t="s">
        <v>1452</v>
      </c>
      <c r="L239" s="20" t="s">
        <v>1435</v>
      </c>
      <c r="M239" s="21" t="s">
        <v>32</v>
      </c>
      <c r="N239" s="22" t="s">
        <v>1436</v>
      </c>
      <c r="O239" s="22" t="s">
        <v>131</v>
      </c>
      <c r="P239" s="22" t="s">
        <v>132</v>
      </c>
      <c r="Q239" s="22"/>
    </row>
    <row r="240" customFormat="false" ht="34.5" hidden="false" customHeight="true" outlineLevel="0" collapsed="false">
      <c r="A240" s="20" t="s">
        <v>1453</v>
      </c>
      <c r="B240" s="20" t="s">
        <v>50</v>
      </c>
      <c r="C240" s="20" t="s">
        <v>1418</v>
      </c>
      <c r="D240" s="20" t="s">
        <v>1454</v>
      </c>
      <c r="E240" s="20" t="s">
        <v>81</v>
      </c>
      <c r="F240" s="20" t="s">
        <v>76</v>
      </c>
      <c r="G240" s="20" t="s">
        <v>542</v>
      </c>
      <c r="H240" s="20" t="s">
        <v>1455</v>
      </c>
      <c r="I240" s="20" t="s">
        <v>1450</v>
      </c>
      <c r="J240" s="20" t="s">
        <v>97</v>
      </c>
      <c r="K240" s="20" t="s">
        <v>1456</v>
      </c>
      <c r="L240" s="20" t="s">
        <v>1435</v>
      </c>
      <c r="M240" s="21" t="s">
        <v>32</v>
      </c>
      <c r="N240" s="22" t="s">
        <v>1436</v>
      </c>
      <c r="O240" s="22" t="s">
        <v>131</v>
      </c>
      <c r="P240" s="22" t="s">
        <v>132</v>
      </c>
      <c r="Q240" s="22"/>
    </row>
    <row r="241" customFormat="false" ht="34.5" hidden="false" customHeight="true" outlineLevel="0" collapsed="false">
      <c r="A241" s="20" t="s">
        <v>1457</v>
      </c>
      <c r="B241" s="20" t="s">
        <v>50</v>
      </c>
      <c r="C241" s="20" t="s">
        <v>1418</v>
      </c>
      <c r="D241" s="20" t="s">
        <v>1458</v>
      </c>
      <c r="E241" s="20" t="s">
        <v>66</v>
      </c>
      <c r="F241" s="20" t="s">
        <v>89</v>
      </c>
      <c r="G241" s="20" t="s">
        <v>542</v>
      </c>
      <c r="H241" s="20" t="s">
        <v>1459</v>
      </c>
      <c r="I241" s="20" t="s">
        <v>1460</v>
      </c>
      <c r="J241" s="20" t="s">
        <v>1461</v>
      </c>
      <c r="K241" s="20" t="s">
        <v>1462</v>
      </c>
      <c r="L241" s="20" t="s">
        <v>1463</v>
      </c>
      <c r="M241" s="21" t="s">
        <v>32</v>
      </c>
      <c r="N241" s="22" t="s">
        <v>1436</v>
      </c>
      <c r="O241" s="22" t="s">
        <v>131</v>
      </c>
      <c r="P241" s="22" t="s">
        <v>132</v>
      </c>
      <c r="Q241" s="22"/>
    </row>
    <row r="242" customFormat="false" ht="34.5" hidden="false" customHeight="true" outlineLevel="0" collapsed="false">
      <c r="A242" s="20" t="s">
        <v>1464</v>
      </c>
      <c r="B242" s="20" t="s">
        <v>50</v>
      </c>
      <c r="C242" s="20" t="s">
        <v>1418</v>
      </c>
      <c r="D242" s="20" t="s">
        <v>1465</v>
      </c>
      <c r="E242" s="20" t="s">
        <v>118</v>
      </c>
      <c r="F242" s="20" t="s">
        <v>76</v>
      </c>
      <c r="G242" s="20" t="s">
        <v>542</v>
      </c>
      <c r="H242" s="20" t="s">
        <v>1466</v>
      </c>
      <c r="I242" s="20" t="s">
        <v>1450</v>
      </c>
      <c r="J242" s="20" t="s">
        <v>1467</v>
      </c>
      <c r="K242" s="20" t="s">
        <v>1468</v>
      </c>
      <c r="L242" s="20" t="s">
        <v>1463</v>
      </c>
      <c r="M242" s="21" t="s">
        <v>32</v>
      </c>
      <c r="N242" s="22" t="s">
        <v>1436</v>
      </c>
      <c r="O242" s="22" t="s">
        <v>131</v>
      </c>
      <c r="P242" s="22" t="s">
        <v>132</v>
      </c>
      <c r="Q242" s="22"/>
    </row>
    <row r="243" customFormat="false" ht="34.5" hidden="false" customHeight="true" outlineLevel="0" collapsed="false">
      <c r="A243" s="20" t="s">
        <v>1469</v>
      </c>
      <c r="B243" s="20" t="s">
        <v>50</v>
      </c>
      <c r="C243" s="20" t="s">
        <v>1418</v>
      </c>
      <c r="D243" s="20" t="s">
        <v>1470</v>
      </c>
      <c r="E243" s="20" t="s">
        <v>66</v>
      </c>
      <c r="F243" s="20" t="s">
        <v>76</v>
      </c>
      <c r="G243" s="20" t="s">
        <v>542</v>
      </c>
      <c r="H243" s="20" t="s">
        <v>1471</v>
      </c>
      <c r="I243" s="20" t="s">
        <v>1472</v>
      </c>
      <c r="J243" s="20" t="s">
        <v>1473</v>
      </c>
      <c r="K243" s="20" t="s">
        <v>1474</v>
      </c>
      <c r="L243" s="20" t="s">
        <v>1463</v>
      </c>
      <c r="M243" s="21" t="s">
        <v>32</v>
      </c>
      <c r="N243" s="22" t="s">
        <v>1436</v>
      </c>
      <c r="O243" s="22" t="s">
        <v>131</v>
      </c>
      <c r="P243" s="22" t="s">
        <v>132</v>
      </c>
      <c r="Q243" s="22"/>
    </row>
    <row r="244" customFormat="false" ht="34.5" hidden="false" customHeight="true" outlineLevel="0" collapsed="false">
      <c r="A244" s="20" t="s">
        <v>1475</v>
      </c>
      <c r="B244" s="20" t="s">
        <v>50</v>
      </c>
      <c r="C244" s="20" t="s">
        <v>1418</v>
      </c>
      <c r="D244" s="20" t="s">
        <v>1476</v>
      </c>
      <c r="E244" s="20" t="s">
        <v>118</v>
      </c>
      <c r="F244" s="20" t="s">
        <v>119</v>
      </c>
      <c r="G244" s="20" t="s">
        <v>542</v>
      </c>
      <c r="H244" s="20" t="s">
        <v>1477</v>
      </c>
      <c r="I244" s="20" t="s">
        <v>1450</v>
      </c>
      <c r="J244" s="20" t="s">
        <v>97</v>
      </c>
      <c r="K244" s="20" t="s">
        <v>1478</v>
      </c>
      <c r="L244" s="20" t="s">
        <v>1463</v>
      </c>
      <c r="M244" s="21" t="s">
        <v>32</v>
      </c>
      <c r="N244" s="22" t="s">
        <v>1436</v>
      </c>
      <c r="O244" s="22" t="s">
        <v>131</v>
      </c>
      <c r="P244" s="22" t="s">
        <v>132</v>
      </c>
      <c r="Q244" s="22"/>
    </row>
    <row r="245" customFormat="false" ht="34.5" hidden="false" customHeight="true" outlineLevel="0" collapsed="false">
      <c r="A245" s="20" t="s">
        <v>1479</v>
      </c>
      <c r="B245" s="20" t="s">
        <v>50</v>
      </c>
      <c r="C245" s="20" t="s">
        <v>1418</v>
      </c>
      <c r="D245" s="20" t="s">
        <v>1480</v>
      </c>
      <c r="E245" s="20" t="s">
        <v>81</v>
      </c>
      <c r="F245" s="20" t="s">
        <v>89</v>
      </c>
      <c r="G245" s="20" t="s">
        <v>542</v>
      </c>
      <c r="H245" s="20" t="s">
        <v>1481</v>
      </c>
      <c r="I245" s="20" t="s">
        <v>1482</v>
      </c>
      <c r="J245" s="20" t="s">
        <v>97</v>
      </c>
      <c r="K245" s="20" t="s">
        <v>1483</v>
      </c>
      <c r="L245" s="20" t="s">
        <v>1484</v>
      </c>
      <c r="M245" s="21" t="s">
        <v>35</v>
      </c>
      <c r="N245" s="22"/>
      <c r="O245" s="22"/>
      <c r="P245" s="22"/>
      <c r="Q245" s="22"/>
    </row>
    <row r="246" customFormat="false" ht="34.5" hidden="false" customHeight="true" outlineLevel="0" collapsed="false">
      <c r="A246" s="20" t="s">
        <v>1485</v>
      </c>
      <c r="B246" s="20" t="s">
        <v>50</v>
      </c>
      <c r="C246" s="20" t="s">
        <v>1486</v>
      </c>
      <c r="D246" s="20" t="s">
        <v>1487</v>
      </c>
      <c r="E246" s="20" t="s">
        <v>66</v>
      </c>
      <c r="F246" s="20" t="s">
        <v>89</v>
      </c>
      <c r="G246" s="20" t="s">
        <v>542</v>
      </c>
      <c r="H246" s="20" t="s">
        <v>1488</v>
      </c>
      <c r="I246" s="20" t="s">
        <v>1450</v>
      </c>
      <c r="J246" s="20" t="s">
        <v>97</v>
      </c>
      <c r="K246" s="20" t="s">
        <v>1489</v>
      </c>
      <c r="L246" s="20" t="s">
        <v>1490</v>
      </c>
      <c r="M246" s="21" t="s">
        <v>32</v>
      </c>
      <c r="N246" s="22" t="s">
        <v>1436</v>
      </c>
      <c r="O246" s="22" t="s">
        <v>131</v>
      </c>
      <c r="P246" s="22" t="s">
        <v>132</v>
      </c>
      <c r="Q246" s="22"/>
    </row>
    <row r="247" customFormat="false" ht="34.5" hidden="false" customHeight="true" outlineLevel="0" collapsed="false">
      <c r="A247" s="20" t="s">
        <v>1491</v>
      </c>
      <c r="B247" s="20" t="s">
        <v>50</v>
      </c>
      <c r="C247" s="20" t="s">
        <v>1486</v>
      </c>
      <c r="D247" s="20" t="s">
        <v>1492</v>
      </c>
      <c r="E247" s="20" t="s">
        <v>118</v>
      </c>
      <c r="F247" s="20" t="s">
        <v>76</v>
      </c>
      <c r="G247" s="20" t="s">
        <v>542</v>
      </c>
      <c r="H247" s="20" t="s">
        <v>1493</v>
      </c>
      <c r="I247" s="20" t="s">
        <v>1450</v>
      </c>
      <c r="J247" s="20" t="s">
        <v>97</v>
      </c>
      <c r="K247" s="20" t="s">
        <v>1494</v>
      </c>
      <c r="L247" s="20" t="s">
        <v>1490</v>
      </c>
      <c r="M247" s="21" t="s">
        <v>32</v>
      </c>
      <c r="N247" s="22" t="s">
        <v>1436</v>
      </c>
      <c r="O247" s="22" t="s">
        <v>131</v>
      </c>
      <c r="P247" s="22" t="s">
        <v>132</v>
      </c>
      <c r="Q247" s="22"/>
    </row>
    <row r="248" customFormat="false" ht="34.5" hidden="false" customHeight="true" outlineLevel="0" collapsed="false">
      <c r="A248" s="20" t="s">
        <v>1495</v>
      </c>
      <c r="B248" s="20" t="s">
        <v>50</v>
      </c>
      <c r="C248" s="20" t="s">
        <v>1486</v>
      </c>
      <c r="D248" s="20" t="s">
        <v>1496</v>
      </c>
      <c r="E248" s="20" t="s">
        <v>118</v>
      </c>
      <c r="F248" s="20" t="s">
        <v>76</v>
      </c>
      <c r="G248" s="20" t="s">
        <v>542</v>
      </c>
      <c r="H248" s="20" t="s">
        <v>1497</v>
      </c>
      <c r="I248" s="20" t="s">
        <v>1450</v>
      </c>
      <c r="J248" s="20" t="s">
        <v>97</v>
      </c>
      <c r="K248" s="20" t="s">
        <v>1498</v>
      </c>
      <c r="L248" s="20" t="s">
        <v>1490</v>
      </c>
      <c r="M248" s="21" t="s">
        <v>32</v>
      </c>
      <c r="N248" s="22" t="s">
        <v>1436</v>
      </c>
      <c r="O248" s="22" t="s">
        <v>131</v>
      </c>
      <c r="P248" s="22" t="s">
        <v>132</v>
      </c>
      <c r="Q248" s="22"/>
    </row>
    <row r="249" customFormat="false" ht="34.5" hidden="false" customHeight="true" outlineLevel="0" collapsed="false">
      <c r="A249" s="20" t="s">
        <v>1499</v>
      </c>
      <c r="B249" s="20" t="s">
        <v>50</v>
      </c>
      <c r="C249" s="20" t="s">
        <v>1486</v>
      </c>
      <c r="D249" s="20" t="s">
        <v>1500</v>
      </c>
      <c r="E249" s="20" t="s">
        <v>81</v>
      </c>
      <c r="F249" s="20" t="s">
        <v>89</v>
      </c>
      <c r="G249" s="20" t="s">
        <v>542</v>
      </c>
      <c r="H249" s="20" t="s">
        <v>97</v>
      </c>
      <c r="I249" s="20" t="s">
        <v>1501</v>
      </c>
      <c r="J249" s="20" t="s">
        <v>97</v>
      </c>
      <c r="K249" s="20" t="s">
        <v>1502</v>
      </c>
      <c r="L249" s="20" t="s">
        <v>1490</v>
      </c>
      <c r="M249" s="21" t="s">
        <v>32</v>
      </c>
      <c r="N249" s="22" t="s">
        <v>1436</v>
      </c>
      <c r="O249" s="22" t="s">
        <v>131</v>
      </c>
      <c r="P249" s="22" t="s">
        <v>132</v>
      </c>
      <c r="Q249" s="22"/>
    </row>
    <row r="250" customFormat="false" ht="34.5" hidden="false" customHeight="true" outlineLevel="0" collapsed="false">
      <c r="A250" s="20" t="s">
        <v>1503</v>
      </c>
      <c r="B250" s="20" t="s">
        <v>50</v>
      </c>
      <c r="C250" s="20" t="s">
        <v>1486</v>
      </c>
      <c r="D250" s="20" t="s">
        <v>1504</v>
      </c>
      <c r="E250" s="20" t="s">
        <v>118</v>
      </c>
      <c r="F250" s="20" t="s">
        <v>76</v>
      </c>
      <c r="G250" s="20" t="s">
        <v>542</v>
      </c>
      <c r="H250" s="20" t="s">
        <v>1505</v>
      </c>
      <c r="I250" s="20" t="s">
        <v>1450</v>
      </c>
      <c r="J250" s="20" t="s">
        <v>97</v>
      </c>
      <c r="K250" s="20" t="s">
        <v>1506</v>
      </c>
      <c r="L250" s="20" t="s">
        <v>1490</v>
      </c>
      <c r="M250" s="21" t="s">
        <v>32</v>
      </c>
      <c r="N250" s="22" t="s">
        <v>1436</v>
      </c>
      <c r="O250" s="22" t="s">
        <v>131</v>
      </c>
      <c r="P250" s="22" t="s">
        <v>132</v>
      </c>
      <c r="Q250" s="22"/>
    </row>
    <row r="251" customFormat="false" ht="34.5" hidden="false" customHeight="true" outlineLevel="0" collapsed="false">
      <c r="A251" s="20" t="s">
        <v>1507</v>
      </c>
      <c r="B251" s="20" t="s">
        <v>50</v>
      </c>
      <c r="C251" s="20" t="s">
        <v>1508</v>
      </c>
      <c r="D251" s="20" t="s">
        <v>1509</v>
      </c>
      <c r="E251" s="20" t="s">
        <v>66</v>
      </c>
      <c r="F251" s="20" t="s">
        <v>67</v>
      </c>
      <c r="G251" s="20" t="s">
        <v>542</v>
      </c>
      <c r="H251" s="20" t="s">
        <v>1510</v>
      </c>
      <c r="I251" s="20" t="s">
        <v>1511</v>
      </c>
      <c r="J251" s="20" t="s">
        <v>1512</v>
      </c>
      <c r="K251" s="20" t="s">
        <v>1513</v>
      </c>
      <c r="L251" s="20" t="s">
        <v>1514</v>
      </c>
      <c r="M251" s="21" t="s">
        <v>35</v>
      </c>
      <c r="N251" s="22"/>
      <c r="O251" s="22"/>
      <c r="P251" s="22"/>
      <c r="Q251" s="22"/>
    </row>
    <row r="252" customFormat="false" ht="34.5" hidden="false" customHeight="true" outlineLevel="0" collapsed="false">
      <c r="A252" s="20" t="s">
        <v>1515</v>
      </c>
      <c r="B252" s="20" t="s">
        <v>50</v>
      </c>
      <c r="C252" s="20" t="s">
        <v>1508</v>
      </c>
      <c r="D252" s="20" t="s">
        <v>1516</v>
      </c>
      <c r="E252" s="20" t="s">
        <v>81</v>
      </c>
      <c r="F252" s="20" t="s">
        <v>76</v>
      </c>
      <c r="G252" s="20" t="s">
        <v>542</v>
      </c>
      <c r="H252" s="20" t="s">
        <v>1517</v>
      </c>
      <c r="I252" s="20" t="s">
        <v>1450</v>
      </c>
      <c r="J252" s="20" t="s">
        <v>97</v>
      </c>
      <c r="K252" s="20" t="s">
        <v>1518</v>
      </c>
      <c r="L252" s="20" t="s">
        <v>1514</v>
      </c>
      <c r="M252" s="21" t="s">
        <v>35</v>
      </c>
      <c r="N252" s="22"/>
      <c r="O252" s="22"/>
      <c r="P252" s="22"/>
      <c r="Q252" s="22"/>
    </row>
    <row r="253" customFormat="false" ht="34.5" hidden="false" customHeight="true" outlineLevel="0" collapsed="false">
      <c r="A253" s="20" t="s">
        <v>1519</v>
      </c>
      <c r="B253" s="20" t="s">
        <v>50</v>
      </c>
      <c r="C253" s="20" t="s">
        <v>1508</v>
      </c>
      <c r="D253" s="20" t="s">
        <v>1520</v>
      </c>
      <c r="E253" s="20" t="s">
        <v>81</v>
      </c>
      <c r="F253" s="20" t="s">
        <v>89</v>
      </c>
      <c r="G253" s="20" t="s">
        <v>542</v>
      </c>
      <c r="H253" s="20" t="s">
        <v>1521</v>
      </c>
      <c r="I253" s="20" t="s">
        <v>1450</v>
      </c>
      <c r="J253" s="20" t="s">
        <v>97</v>
      </c>
      <c r="K253" s="20" t="s">
        <v>1522</v>
      </c>
      <c r="L253" s="20" t="s">
        <v>1514</v>
      </c>
      <c r="M253" s="21" t="s">
        <v>35</v>
      </c>
      <c r="N253" s="22"/>
      <c r="O253" s="22"/>
      <c r="P253" s="22"/>
      <c r="Q253" s="22"/>
    </row>
    <row r="254" customFormat="false" ht="34.5" hidden="false" customHeight="true" outlineLevel="0" collapsed="false">
      <c r="A254" s="20" t="s">
        <v>1523</v>
      </c>
      <c r="B254" s="20" t="s">
        <v>50</v>
      </c>
      <c r="C254" s="20" t="s">
        <v>1508</v>
      </c>
      <c r="D254" s="20" t="s">
        <v>1524</v>
      </c>
      <c r="E254" s="20" t="s">
        <v>118</v>
      </c>
      <c r="F254" s="20" t="s">
        <v>119</v>
      </c>
      <c r="G254" s="20" t="s">
        <v>542</v>
      </c>
      <c r="H254" s="20" t="s">
        <v>1525</v>
      </c>
      <c r="I254" s="20" t="s">
        <v>1450</v>
      </c>
      <c r="J254" s="20" t="s">
        <v>97</v>
      </c>
      <c r="K254" s="20" t="s">
        <v>1526</v>
      </c>
      <c r="L254" s="20" t="s">
        <v>1514</v>
      </c>
      <c r="M254" s="21" t="s">
        <v>35</v>
      </c>
      <c r="N254" s="22"/>
      <c r="O254" s="22"/>
      <c r="P254" s="22"/>
      <c r="Q254" s="22"/>
    </row>
    <row r="255" customFormat="false" ht="34.5" hidden="false" customHeight="true" outlineLevel="0" collapsed="false">
      <c r="A255" s="20" t="s">
        <v>1527</v>
      </c>
      <c r="B255" s="20" t="s">
        <v>50</v>
      </c>
      <c r="C255" s="20" t="s">
        <v>1528</v>
      </c>
      <c r="D255" s="20" t="s">
        <v>1529</v>
      </c>
      <c r="E255" s="20" t="s">
        <v>66</v>
      </c>
      <c r="F255" s="20" t="s">
        <v>89</v>
      </c>
      <c r="G255" s="20" t="s">
        <v>542</v>
      </c>
      <c r="H255" s="20" t="s">
        <v>1530</v>
      </c>
      <c r="I255" s="20" t="s">
        <v>1531</v>
      </c>
      <c r="J255" s="20" t="s">
        <v>1532</v>
      </c>
      <c r="K255" s="20" t="s">
        <v>1533</v>
      </c>
      <c r="L255" s="20" t="s">
        <v>1534</v>
      </c>
      <c r="M255" s="21" t="s">
        <v>35</v>
      </c>
      <c r="N255" s="22"/>
      <c r="O255" s="22"/>
      <c r="P255" s="22"/>
      <c r="Q255" s="22"/>
    </row>
    <row r="256" customFormat="false" ht="34.5" hidden="false" customHeight="true" outlineLevel="0" collapsed="false">
      <c r="A256" s="20" t="s">
        <v>1535</v>
      </c>
      <c r="B256" s="20" t="s">
        <v>50</v>
      </c>
      <c r="C256" s="20" t="s">
        <v>1528</v>
      </c>
      <c r="D256" s="20" t="s">
        <v>1536</v>
      </c>
      <c r="E256" s="20" t="s">
        <v>96</v>
      </c>
      <c r="F256" s="20" t="s">
        <v>76</v>
      </c>
      <c r="G256" s="20" t="s">
        <v>542</v>
      </c>
      <c r="H256" s="20" t="s">
        <v>97</v>
      </c>
      <c r="I256" s="20" t="s">
        <v>1537</v>
      </c>
      <c r="J256" s="20" t="s">
        <v>1538</v>
      </c>
      <c r="K256" s="20" t="s">
        <v>1539</v>
      </c>
      <c r="L256" s="20" t="s">
        <v>1534</v>
      </c>
      <c r="M256" s="21" t="s">
        <v>35</v>
      </c>
      <c r="N256" s="22"/>
      <c r="O256" s="22"/>
      <c r="P256" s="22"/>
      <c r="Q256" s="22"/>
    </row>
    <row r="257" customFormat="false" ht="34.5" hidden="false" customHeight="true" outlineLevel="0" collapsed="false">
      <c r="A257" s="20" t="s">
        <v>1540</v>
      </c>
      <c r="B257" s="20" t="s">
        <v>50</v>
      </c>
      <c r="C257" s="20" t="s">
        <v>1528</v>
      </c>
      <c r="D257" s="20" t="s">
        <v>1541</v>
      </c>
      <c r="E257" s="20" t="s">
        <v>81</v>
      </c>
      <c r="F257" s="20" t="s">
        <v>89</v>
      </c>
      <c r="G257" s="20" t="s">
        <v>542</v>
      </c>
      <c r="H257" s="20" t="s">
        <v>1542</v>
      </c>
      <c r="I257" s="20" t="s">
        <v>1543</v>
      </c>
      <c r="J257" s="20" t="s">
        <v>97</v>
      </c>
      <c r="K257" s="20" t="s">
        <v>1544</v>
      </c>
      <c r="L257" s="20" t="s">
        <v>1545</v>
      </c>
      <c r="M257" s="21" t="s">
        <v>35</v>
      </c>
      <c r="N257" s="22"/>
      <c r="O257" s="22"/>
      <c r="P257" s="22"/>
      <c r="Q257" s="22"/>
    </row>
    <row r="258" customFormat="false" ht="34.5" hidden="false" customHeight="true" outlineLevel="0" collapsed="false">
      <c r="A258" s="20" t="s">
        <v>1546</v>
      </c>
      <c r="B258" s="20" t="s">
        <v>51</v>
      </c>
      <c r="C258" s="20" t="s">
        <v>1508</v>
      </c>
      <c r="D258" s="20" t="s">
        <v>1547</v>
      </c>
      <c r="E258" s="20" t="s">
        <v>66</v>
      </c>
      <c r="F258" s="20" t="s">
        <v>67</v>
      </c>
      <c r="G258" s="20" t="s">
        <v>542</v>
      </c>
      <c r="H258" s="20" t="s">
        <v>1548</v>
      </c>
      <c r="I258" s="20" t="s">
        <v>1549</v>
      </c>
      <c r="J258" s="20" t="s">
        <v>1550</v>
      </c>
      <c r="K258" s="20" t="s">
        <v>1551</v>
      </c>
      <c r="L258" s="20" t="s">
        <v>1552</v>
      </c>
      <c r="M258" s="21" t="s">
        <v>35</v>
      </c>
      <c r="N258" s="22"/>
      <c r="O258" s="22"/>
      <c r="P258" s="22"/>
      <c r="Q258" s="22"/>
    </row>
    <row r="259" customFormat="false" ht="23.25" hidden="false" customHeight="true" outlineLevel="0" collapsed="false">
      <c r="A259" s="20" t="s">
        <v>1553</v>
      </c>
      <c r="B259" s="20" t="s">
        <v>51</v>
      </c>
      <c r="C259" s="20" t="s">
        <v>1508</v>
      </c>
      <c r="D259" s="20" t="s">
        <v>1554</v>
      </c>
      <c r="E259" s="20" t="s">
        <v>81</v>
      </c>
      <c r="F259" s="20" t="s">
        <v>89</v>
      </c>
      <c r="G259" s="20" t="s">
        <v>542</v>
      </c>
      <c r="H259" s="20" t="s">
        <v>1555</v>
      </c>
      <c r="I259" s="20" t="s">
        <v>1556</v>
      </c>
      <c r="J259" s="20" t="s">
        <v>1550</v>
      </c>
      <c r="K259" s="20" t="s">
        <v>1557</v>
      </c>
      <c r="L259" s="20" t="s">
        <v>1552</v>
      </c>
      <c r="M259" s="21" t="s">
        <v>35</v>
      </c>
      <c r="N259" s="22"/>
      <c r="O259" s="22"/>
      <c r="P259" s="22"/>
      <c r="Q259" s="22"/>
    </row>
    <row r="260" customFormat="false" ht="34.5" hidden="false" customHeight="true" outlineLevel="0" collapsed="false">
      <c r="A260" s="20" t="s">
        <v>1558</v>
      </c>
      <c r="B260" s="20" t="s">
        <v>51</v>
      </c>
      <c r="C260" s="20" t="s">
        <v>96</v>
      </c>
      <c r="D260" s="20" t="s">
        <v>1559</v>
      </c>
      <c r="E260" s="20" t="s">
        <v>81</v>
      </c>
      <c r="F260" s="20" t="s">
        <v>67</v>
      </c>
      <c r="G260" s="20" t="s">
        <v>542</v>
      </c>
      <c r="H260" s="20" t="s">
        <v>1560</v>
      </c>
      <c r="I260" s="20" t="s">
        <v>1561</v>
      </c>
      <c r="J260" s="20" t="s">
        <v>97</v>
      </c>
      <c r="K260" s="20" t="s">
        <v>1562</v>
      </c>
      <c r="L260" s="20" t="s">
        <v>1545</v>
      </c>
      <c r="M260" s="21" t="s">
        <v>35</v>
      </c>
      <c r="N260" s="22"/>
      <c r="O260" s="22"/>
      <c r="P260" s="22"/>
      <c r="Q260" s="22"/>
    </row>
    <row r="261" customFormat="false" ht="34.5" hidden="false" customHeight="true" outlineLevel="0" collapsed="false">
      <c r="A261" s="20" t="s">
        <v>1563</v>
      </c>
      <c r="B261" s="20" t="s">
        <v>51</v>
      </c>
      <c r="C261" s="20" t="s">
        <v>96</v>
      </c>
      <c r="D261" s="20" t="s">
        <v>1564</v>
      </c>
      <c r="E261" s="20" t="s">
        <v>66</v>
      </c>
      <c r="F261" s="20" t="s">
        <v>89</v>
      </c>
      <c r="G261" s="20" t="s">
        <v>542</v>
      </c>
      <c r="H261" s="20" t="s">
        <v>1565</v>
      </c>
      <c r="I261" s="20" t="s">
        <v>1566</v>
      </c>
      <c r="J261" s="20" t="s">
        <v>97</v>
      </c>
      <c r="K261" s="20" t="s">
        <v>1567</v>
      </c>
      <c r="L261" s="20" t="s">
        <v>546</v>
      </c>
      <c r="M261" s="21" t="s">
        <v>35</v>
      </c>
      <c r="N261" s="22"/>
      <c r="O261" s="22"/>
      <c r="P261" s="22"/>
      <c r="Q261" s="22"/>
    </row>
    <row r="262" customFormat="false" ht="34.5" hidden="false" customHeight="true" outlineLevel="0" collapsed="false">
      <c r="A262" s="20" t="s">
        <v>1568</v>
      </c>
      <c r="B262" s="20" t="s">
        <v>51</v>
      </c>
      <c r="C262" s="20" t="s">
        <v>96</v>
      </c>
      <c r="D262" s="20" t="s">
        <v>1569</v>
      </c>
      <c r="E262" s="20" t="s">
        <v>81</v>
      </c>
      <c r="F262" s="20" t="s">
        <v>67</v>
      </c>
      <c r="G262" s="20" t="s">
        <v>542</v>
      </c>
      <c r="H262" s="20" t="s">
        <v>1570</v>
      </c>
      <c r="I262" s="20" t="s">
        <v>1571</v>
      </c>
      <c r="J262" s="20" t="s">
        <v>97</v>
      </c>
      <c r="K262" s="20" t="s">
        <v>1572</v>
      </c>
      <c r="L262" s="20" t="s">
        <v>546</v>
      </c>
      <c r="M262" s="21" t="s">
        <v>35</v>
      </c>
      <c r="N262" s="22"/>
      <c r="O262" s="22"/>
      <c r="P262" s="22"/>
      <c r="Q262" s="22"/>
    </row>
    <row r="263" customFormat="false" ht="34.5" hidden="false" customHeight="true" outlineLevel="0" collapsed="false">
      <c r="A263" s="20" t="s">
        <v>1573</v>
      </c>
      <c r="B263" s="20" t="s">
        <v>51</v>
      </c>
      <c r="C263" s="20" t="s">
        <v>96</v>
      </c>
      <c r="D263" s="20" t="s">
        <v>1574</v>
      </c>
      <c r="E263" s="20" t="s">
        <v>118</v>
      </c>
      <c r="F263" s="20" t="s">
        <v>76</v>
      </c>
      <c r="G263" s="20" t="s">
        <v>542</v>
      </c>
      <c r="H263" s="20" t="s">
        <v>1575</v>
      </c>
      <c r="I263" s="20" t="s">
        <v>1576</v>
      </c>
      <c r="J263" s="20" t="s">
        <v>97</v>
      </c>
      <c r="K263" s="20" t="s">
        <v>1577</v>
      </c>
      <c r="L263" s="20" t="s">
        <v>546</v>
      </c>
      <c r="M263" s="21" t="s">
        <v>35</v>
      </c>
      <c r="N263" s="22"/>
      <c r="O263" s="22"/>
      <c r="P263" s="22"/>
      <c r="Q263" s="22"/>
    </row>
    <row r="264" customFormat="false" ht="34.5" hidden="false" customHeight="true" outlineLevel="0" collapsed="false">
      <c r="A264" s="20" t="s">
        <v>1578</v>
      </c>
      <c r="B264" s="20" t="s">
        <v>51</v>
      </c>
      <c r="C264" s="20" t="s">
        <v>96</v>
      </c>
      <c r="D264" s="20" t="s">
        <v>1579</v>
      </c>
      <c r="E264" s="20" t="s">
        <v>96</v>
      </c>
      <c r="F264" s="20" t="s">
        <v>76</v>
      </c>
      <c r="G264" s="20" t="s">
        <v>542</v>
      </c>
      <c r="H264" s="20" t="s">
        <v>97</v>
      </c>
      <c r="I264" s="20" t="s">
        <v>1580</v>
      </c>
      <c r="J264" s="20" t="s">
        <v>192</v>
      </c>
      <c r="K264" s="20" t="s">
        <v>1224</v>
      </c>
      <c r="L264" s="20" t="s">
        <v>546</v>
      </c>
      <c r="M264" s="21" t="s">
        <v>35</v>
      </c>
      <c r="N264" s="22"/>
      <c r="O264" s="22"/>
      <c r="P264" s="22"/>
      <c r="Q264" s="22"/>
    </row>
    <row r="265" customFormat="false" ht="34.5" hidden="false" customHeight="true" outlineLevel="0" collapsed="false">
      <c r="A265" s="20" t="s">
        <v>1581</v>
      </c>
      <c r="B265" s="20" t="s">
        <v>51</v>
      </c>
      <c r="C265" s="20" t="s">
        <v>1582</v>
      </c>
      <c r="D265" s="20" t="s">
        <v>1583</v>
      </c>
      <c r="E265" s="20" t="s">
        <v>66</v>
      </c>
      <c r="F265" s="20" t="s">
        <v>67</v>
      </c>
      <c r="G265" s="20" t="s">
        <v>542</v>
      </c>
      <c r="H265" s="20" t="s">
        <v>1584</v>
      </c>
      <c r="I265" s="20" t="s">
        <v>1585</v>
      </c>
      <c r="J265" s="20" t="s">
        <v>97</v>
      </c>
      <c r="K265" s="20" t="s">
        <v>1586</v>
      </c>
      <c r="L265" s="20" t="s">
        <v>1545</v>
      </c>
      <c r="M265" s="21" t="s">
        <v>35</v>
      </c>
      <c r="N265" s="22"/>
      <c r="O265" s="22"/>
      <c r="P265" s="22"/>
      <c r="Q265" s="22"/>
    </row>
    <row r="266" customFormat="false" ht="34.5" hidden="false" customHeight="true" outlineLevel="0" collapsed="false">
      <c r="A266" s="20" t="s">
        <v>1587</v>
      </c>
      <c r="B266" s="20" t="s">
        <v>51</v>
      </c>
      <c r="C266" s="20" t="s">
        <v>1582</v>
      </c>
      <c r="D266" s="20" t="s">
        <v>1588</v>
      </c>
      <c r="E266" s="20" t="s">
        <v>161</v>
      </c>
      <c r="F266" s="20" t="s">
        <v>67</v>
      </c>
      <c r="G266" s="20" t="s">
        <v>542</v>
      </c>
      <c r="H266" s="20" t="s">
        <v>1589</v>
      </c>
      <c r="I266" s="20" t="s">
        <v>1590</v>
      </c>
      <c r="J266" s="20" t="s">
        <v>97</v>
      </c>
      <c r="K266" s="20" t="s">
        <v>1591</v>
      </c>
      <c r="L266" s="20" t="s">
        <v>1545</v>
      </c>
      <c r="M266" s="21" t="s">
        <v>35</v>
      </c>
      <c r="N266" s="22"/>
      <c r="O266" s="22"/>
      <c r="P266" s="22"/>
      <c r="Q266" s="22"/>
    </row>
    <row r="267" customFormat="false" ht="34.5" hidden="false" customHeight="true" outlineLevel="0" collapsed="false">
      <c r="A267" s="20" t="s">
        <v>1592</v>
      </c>
      <c r="B267" s="20" t="s">
        <v>51</v>
      </c>
      <c r="C267" s="20" t="s">
        <v>1582</v>
      </c>
      <c r="D267" s="20" t="s">
        <v>1593</v>
      </c>
      <c r="E267" s="20" t="s">
        <v>66</v>
      </c>
      <c r="F267" s="20" t="s">
        <v>67</v>
      </c>
      <c r="G267" s="20" t="s">
        <v>1594</v>
      </c>
      <c r="H267" s="20" t="s">
        <v>1595</v>
      </c>
      <c r="I267" s="20" t="s">
        <v>1596</v>
      </c>
      <c r="J267" s="20" t="s">
        <v>97</v>
      </c>
      <c r="K267" s="20" t="s">
        <v>1597</v>
      </c>
      <c r="L267" s="20" t="s">
        <v>1545</v>
      </c>
      <c r="M267" s="21" t="s">
        <v>35</v>
      </c>
      <c r="N267" s="22"/>
      <c r="O267" s="22"/>
      <c r="P267" s="22"/>
      <c r="Q267" s="22"/>
    </row>
    <row r="268" customFormat="false" ht="34.5" hidden="false" customHeight="true" outlineLevel="0" collapsed="false">
      <c r="A268" s="20" t="s">
        <v>1598</v>
      </c>
      <c r="B268" s="20" t="s">
        <v>51</v>
      </c>
      <c r="C268" s="20" t="s">
        <v>1582</v>
      </c>
      <c r="D268" s="20" t="s">
        <v>1599</v>
      </c>
      <c r="E268" s="20" t="s">
        <v>96</v>
      </c>
      <c r="F268" s="20" t="s">
        <v>76</v>
      </c>
      <c r="G268" s="20" t="s">
        <v>542</v>
      </c>
      <c r="H268" s="20" t="s">
        <v>97</v>
      </c>
      <c r="I268" s="20" t="s">
        <v>1600</v>
      </c>
      <c r="J268" s="20" t="s">
        <v>192</v>
      </c>
      <c r="K268" s="20" t="s">
        <v>1601</v>
      </c>
      <c r="L268" s="20" t="s">
        <v>1545</v>
      </c>
      <c r="M268" s="21" t="s">
        <v>35</v>
      </c>
      <c r="N268" s="22"/>
      <c r="O268" s="22"/>
      <c r="P268" s="22"/>
      <c r="Q268" s="22"/>
    </row>
    <row r="269" customFormat="false" ht="34.5" hidden="false" customHeight="true" outlineLevel="0" collapsed="false">
      <c r="A269" s="20" t="s">
        <v>1602</v>
      </c>
      <c r="B269" s="20" t="s">
        <v>51</v>
      </c>
      <c r="C269" s="20" t="s">
        <v>1603</v>
      </c>
      <c r="D269" s="20" t="s">
        <v>1604</v>
      </c>
      <c r="E269" s="20" t="s">
        <v>66</v>
      </c>
      <c r="F269" s="20" t="s">
        <v>67</v>
      </c>
      <c r="G269" s="20" t="s">
        <v>1605</v>
      </c>
      <c r="H269" s="20" t="s">
        <v>1606</v>
      </c>
      <c r="I269" s="20" t="s">
        <v>1607</v>
      </c>
      <c r="J269" s="20" t="s">
        <v>97</v>
      </c>
      <c r="K269" s="20" t="s">
        <v>1608</v>
      </c>
      <c r="L269" s="20" t="s">
        <v>1609</v>
      </c>
      <c r="M269" s="21" t="s">
        <v>35</v>
      </c>
      <c r="N269" s="22"/>
      <c r="O269" s="22"/>
      <c r="P269" s="22"/>
      <c r="Q269" s="22"/>
    </row>
    <row r="270" customFormat="false" ht="34.5" hidden="false" customHeight="true" outlineLevel="0" collapsed="false">
      <c r="A270" s="20" t="s">
        <v>1610</v>
      </c>
      <c r="B270" s="20" t="s">
        <v>51</v>
      </c>
      <c r="C270" s="20" t="s">
        <v>1603</v>
      </c>
      <c r="D270" s="20" t="s">
        <v>1611</v>
      </c>
      <c r="E270" s="20" t="s">
        <v>161</v>
      </c>
      <c r="F270" s="20" t="s">
        <v>67</v>
      </c>
      <c r="G270" s="20" t="s">
        <v>306</v>
      </c>
      <c r="H270" s="20" t="s">
        <v>1612</v>
      </c>
      <c r="I270" s="20" t="s">
        <v>1613</v>
      </c>
      <c r="J270" s="20" t="s">
        <v>97</v>
      </c>
      <c r="K270" s="20" t="s">
        <v>1614</v>
      </c>
      <c r="L270" s="20" t="s">
        <v>1609</v>
      </c>
      <c r="M270" s="21" t="s">
        <v>35</v>
      </c>
      <c r="N270" s="22"/>
      <c r="O270" s="22"/>
      <c r="P270" s="22"/>
      <c r="Q270" s="22"/>
    </row>
    <row r="271" customFormat="false" ht="34.5" hidden="false" customHeight="true" outlineLevel="0" collapsed="false">
      <c r="A271" s="20" t="s">
        <v>1615</v>
      </c>
      <c r="B271" s="20" t="s">
        <v>51</v>
      </c>
      <c r="C271" s="20" t="s">
        <v>1603</v>
      </c>
      <c r="D271" s="20" t="s">
        <v>1616</v>
      </c>
      <c r="E271" s="20" t="s">
        <v>66</v>
      </c>
      <c r="F271" s="20" t="s">
        <v>89</v>
      </c>
      <c r="G271" s="20" t="s">
        <v>1605</v>
      </c>
      <c r="H271" s="20" t="s">
        <v>97</v>
      </c>
      <c r="I271" s="20" t="s">
        <v>1617</v>
      </c>
      <c r="J271" s="20" t="s">
        <v>97</v>
      </c>
      <c r="K271" s="20" t="s">
        <v>1618</v>
      </c>
      <c r="L271" s="20" t="s">
        <v>1609</v>
      </c>
      <c r="M271" s="21" t="s">
        <v>35</v>
      </c>
      <c r="N271" s="22"/>
      <c r="O271" s="22"/>
      <c r="P271" s="22"/>
      <c r="Q271" s="22"/>
    </row>
    <row r="272" customFormat="false" ht="34.5" hidden="false" customHeight="true" outlineLevel="0" collapsed="false">
      <c r="A272" s="20" t="s">
        <v>1619</v>
      </c>
      <c r="B272" s="20" t="s">
        <v>51</v>
      </c>
      <c r="C272" s="20" t="s">
        <v>1603</v>
      </c>
      <c r="D272" s="20" t="s">
        <v>1620</v>
      </c>
      <c r="E272" s="20" t="s">
        <v>118</v>
      </c>
      <c r="F272" s="20" t="s">
        <v>76</v>
      </c>
      <c r="G272" s="20" t="s">
        <v>1605</v>
      </c>
      <c r="H272" s="20" t="s">
        <v>97</v>
      </c>
      <c r="I272" s="20" t="s">
        <v>1621</v>
      </c>
      <c r="J272" s="20" t="s">
        <v>97</v>
      </c>
      <c r="K272" s="20" t="s">
        <v>1622</v>
      </c>
      <c r="L272" s="20" t="s">
        <v>1609</v>
      </c>
      <c r="M272" s="21" t="s">
        <v>35</v>
      </c>
      <c r="N272" s="22"/>
      <c r="O272" s="22"/>
      <c r="P272" s="22"/>
      <c r="Q272" s="22"/>
    </row>
    <row r="273" customFormat="false" ht="23.25" hidden="false" customHeight="true" outlineLevel="0" collapsed="false">
      <c r="A273" s="20" t="s">
        <v>1623</v>
      </c>
      <c r="B273" s="20" t="s">
        <v>51</v>
      </c>
      <c r="C273" s="20" t="s">
        <v>1624</v>
      </c>
      <c r="D273" s="20" t="s">
        <v>1625</v>
      </c>
      <c r="E273" s="20" t="s">
        <v>66</v>
      </c>
      <c r="F273" s="20" t="s">
        <v>89</v>
      </c>
      <c r="G273" s="20" t="s">
        <v>1605</v>
      </c>
      <c r="H273" s="20" t="s">
        <v>1626</v>
      </c>
      <c r="I273" s="20" t="s">
        <v>1627</v>
      </c>
      <c r="J273" s="20" t="s">
        <v>97</v>
      </c>
      <c r="K273" s="20" t="s">
        <v>1628</v>
      </c>
      <c r="L273" s="20" t="s">
        <v>1629</v>
      </c>
      <c r="M273" s="21" t="s">
        <v>35</v>
      </c>
      <c r="N273" s="22"/>
      <c r="O273" s="22"/>
      <c r="P273" s="22"/>
      <c r="Q273" s="22"/>
    </row>
    <row r="274" customFormat="false" ht="23.25" hidden="false" customHeight="true" outlineLevel="0" collapsed="false">
      <c r="A274" s="20" t="s">
        <v>1630</v>
      </c>
      <c r="B274" s="20" t="s">
        <v>51</v>
      </c>
      <c r="C274" s="20" t="s">
        <v>1624</v>
      </c>
      <c r="D274" s="20" t="s">
        <v>1631</v>
      </c>
      <c r="E274" s="20" t="s">
        <v>81</v>
      </c>
      <c r="F274" s="20" t="s">
        <v>76</v>
      </c>
      <c r="G274" s="20" t="s">
        <v>1605</v>
      </c>
      <c r="H274" s="20" t="s">
        <v>1530</v>
      </c>
      <c r="I274" s="20" t="s">
        <v>1632</v>
      </c>
      <c r="J274" s="20" t="s">
        <v>97</v>
      </c>
      <c r="K274" s="20" t="s">
        <v>1633</v>
      </c>
      <c r="L274" s="20" t="s">
        <v>1629</v>
      </c>
      <c r="M274" s="21" t="s">
        <v>35</v>
      </c>
      <c r="N274" s="22"/>
      <c r="O274" s="22"/>
      <c r="P274" s="22"/>
      <c r="Q274" s="22"/>
    </row>
    <row r="275" customFormat="false" ht="23.25" hidden="false" customHeight="true" outlineLevel="0" collapsed="false">
      <c r="A275" s="20" t="s">
        <v>1634</v>
      </c>
      <c r="B275" s="20" t="s">
        <v>51</v>
      </c>
      <c r="C275" s="20" t="s">
        <v>1624</v>
      </c>
      <c r="D275" s="20" t="s">
        <v>1635</v>
      </c>
      <c r="E275" s="20" t="s">
        <v>81</v>
      </c>
      <c r="F275" s="20" t="s">
        <v>67</v>
      </c>
      <c r="G275" s="20" t="s">
        <v>1605</v>
      </c>
      <c r="H275" s="20" t="s">
        <v>1636</v>
      </c>
      <c r="I275" s="20" t="s">
        <v>1632</v>
      </c>
      <c r="J275" s="20" t="s">
        <v>97</v>
      </c>
      <c r="K275" s="20" t="s">
        <v>1637</v>
      </c>
      <c r="L275" s="20" t="s">
        <v>1629</v>
      </c>
      <c r="M275" s="21" t="s">
        <v>35</v>
      </c>
      <c r="N275" s="22"/>
      <c r="O275" s="22"/>
      <c r="P275" s="22"/>
      <c r="Q275" s="22"/>
    </row>
    <row r="276" customFormat="false" ht="23.25" hidden="false" customHeight="true" outlineLevel="0" collapsed="false">
      <c r="A276" s="20" t="s">
        <v>1638</v>
      </c>
      <c r="B276" s="20" t="s">
        <v>51</v>
      </c>
      <c r="C276" s="20" t="s">
        <v>1624</v>
      </c>
      <c r="D276" s="20" t="s">
        <v>1639</v>
      </c>
      <c r="E276" s="20" t="s">
        <v>161</v>
      </c>
      <c r="F276" s="20" t="s">
        <v>89</v>
      </c>
      <c r="G276" s="20" t="s">
        <v>306</v>
      </c>
      <c r="H276" s="20" t="s">
        <v>97</v>
      </c>
      <c r="I276" s="20" t="s">
        <v>1640</v>
      </c>
      <c r="J276" s="20" t="s">
        <v>97</v>
      </c>
      <c r="K276" s="20" t="s">
        <v>1641</v>
      </c>
      <c r="L276" s="20" t="s">
        <v>1629</v>
      </c>
      <c r="M276" s="21" t="s">
        <v>35</v>
      </c>
      <c r="N276" s="22"/>
      <c r="O276" s="22"/>
      <c r="P276" s="22"/>
      <c r="Q276" s="22"/>
    </row>
    <row r="277" customFormat="false" ht="34.5" hidden="false" customHeight="true" outlineLevel="0" collapsed="false">
      <c r="A277" s="20" t="s">
        <v>1642</v>
      </c>
      <c r="B277" s="20" t="s">
        <v>51</v>
      </c>
      <c r="C277" s="20" t="s">
        <v>898</v>
      </c>
      <c r="D277" s="20" t="s">
        <v>1643</v>
      </c>
      <c r="E277" s="20" t="s">
        <v>66</v>
      </c>
      <c r="F277" s="20" t="s">
        <v>89</v>
      </c>
      <c r="G277" s="20" t="s">
        <v>542</v>
      </c>
      <c r="H277" s="20" t="s">
        <v>1644</v>
      </c>
      <c r="I277" s="20" t="s">
        <v>1645</v>
      </c>
      <c r="J277" s="20" t="s">
        <v>97</v>
      </c>
      <c r="K277" s="20" t="s">
        <v>1646</v>
      </c>
      <c r="L277" s="20" t="s">
        <v>1514</v>
      </c>
      <c r="M277" s="21" t="s">
        <v>35</v>
      </c>
      <c r="N277" s="22"/>
      <c r="O277" s="22"/>
      <c r="P277" s="22"/>
      <c r="Q277" s="22"/>
    </row>
    <row r="278" customFormat="false" ht="34.5" hidden="false" customHeight="true" outlineLevel="0" collapsed="false">
      <c r="A278" s="20" t="s">
        <v>1647</v>
      </c>
      <c r="B278" s="20" t="s">
        <v>52</v>
      </c>
      <c r="C278" s="20" t="s">
        <v>1648</v>
      </c>
      <c r="D278" s="20" t="s">
        <v>1649</v>
      </c>
      <c r="E278" s="20" t="s">
        <v>66</v>
      </c>
      <c r="F278" s="20" t="s">
        <v>67</v>
      </c>
      <c r="G278" s="20" t="s">
        <v>68</v>
      </c>
      <c r="H278" s="20" t="s">
        <v>1650</v>
      </c>
      <c r="I278" s="20" t="s">
        <v>1651</v>
      </c>
      <c r="J278" s="20" t="s">
        <v>1652</v>
      </c>
      <c r="K278" s="20" t="s">
        <v>1653</v>
      </c>
      <c r="L278" s="20" t="s">
        <v>1654</v>
      </c>
      <c r="M278" s="21" t="s">
        <v>35</v>
      </c>
      <c r="N278" s="22"/>
      <c r="O278" s="22"/>
      <c r="P278" s="22"/>
      <c r="Q278" s="22"/>
    </row>
    <row r="279" customFormat="false" ht="23.25" hidden="false" customHeight="true" outlineLevel="0" collapsed="false">
      <c r="A279" s="20" t="s">
        <v>1655</v>
      </c>
      <c r="B279" s="20" t="s">
        <v>52</v>
      </c>
      <c r="C279" s="20" t="s">
        <v>1648</v>
      </c>
      <c r="D279" s="20" t="s">
        <v>1656</v>
      </c>
      <c r="E279" s="20" t="s">
        <v>161</v>
      </c>
      <c r="F279" s="20" t="s">
        <v>67</v>
      </c>
      <c r="G279" s="20" t="s">
        <v>68</v>
      </c>
      <c r="H279" s="20" t="s">
        <v>97</v>
      </c>
      <c r="I279" s="20" t="s">
        <v>1657</v>
      </c>
      <c r="J279" s="20" t="s">
        <v>513</v>
      </c>
      <c r="K279" s="20" t="s">
        <v>1658</v>
      </c>
      <c r="L279" s="20" t="s">
        <v>1654</v>
      </c>
      <c r="M279" s="21" t="s">
        <v>35</v>
      </c>
      <c r="N279" s="22"/>
      <c r="O279" s="22"/>
      <c r="P279" s="22"/>
      <c r="Q279" s="22"/>
    </row>
    <row r="280" customFormat="false" ht="23.25" hidden="false" customHeight="true" outlineLevel="0" collapsed="false">
      <c r="A280" s="20" t="s">
        <v>1659</v>
      </c>
      <c r="B280" s="20" t="s">
        <v>52</v>
      </c>
      <c r="C280" s="20" t="s">
        <v>1648</v>
      </c>
      <c r="D280" s="20" t="s">
        <v>1660</v>
      </c>
      <c r="E280" s="20" t="s">
        <v>81</v>
      </c>
      <c r="F280" s="20" t="s">
        <v>89</v>
      </c>
      <c r="G280" s="20" t="s">
        <v>68</v>
      </c>
      <c r="H280" s="20" t="s">
        <v>1661</v>
      </c>
      <c r="I280" s="20" t="s">
        <v>1662</v>
      </c>
      <c r="J280" s="20" t="s">
        <v>97</v>
      </c>
      <c r="K280" s="20" t="s">
        <v>1663</v>
      </c>
      <c r="L280" s="20" t="s">
        <v>1654</v>
      </c>
      <c r="M280" s="21" t="s">
        <v>35</v>
      </c>
      <c r="N280" s="22"/>
      <c r="O280" s="22"/>
      <c r="P280" s="22"/>
      <c r="Q280" s="22"/>
    </row>
    <row r="281" customFormat="false" ht="23.25" hidden="false" customHeight="true" outlineLevel="0" collapsed="false">
      <c r="A281" s="20" t="s">
        <v>1664</v>
      </c>
      <c r="B281" s="20" t="s">
        <v>52</v>
      </c>
      <c r="C281" s="20" t="s">
        <v>1648</v>
      </c>
      <c r="D281" s="20" t="s">
        <v>1665</v>
      </c>
      <c r="E281" s="20" t="s">
        <v>66</v>
      </c>
      <c r="F281" s="20" t="s">
        <v>119</v>
      </c>
      <c r="G281" s="20" t="s">
        <v>68</v>
      </c>
      <c r="H281" s="20" t="s">
        <v>1666</v>
      </c>
      <c r="I281" s="20" t="s">
        <v>1667</v>
      </c>
      <c r="J281" s="20" t="s">
        <v>97</v>
      </c>
      <c r="K281" s="20" t="s">
        <v>1668</v>
      </c>
      <c r="L281" s="20" t="s">
        <v>1654</v>
      </c>
      <c r="M281" s="21" t="s">
        <v>35</v>
      </c>
      <c r="N281" s="22"/>
      <c r="O281" s="22"/>
      <c r="P281" s="22"/>
      <c r="Q281" s="22"/>
    </row>
    <row r="282" customFormat="false" ht="34.5" hidden="false" customHeight="true" outlineLevel="0" collapsed="false">
      <c r="A282" s="20" t="s">
        <v>1669</v>
      </c>
      <c r="B282" s="20" t="s">
        <v>52</v>
      </c>
      <c r="C282" s="20" t="s">
        <v>922</v>
      </c>
      <c r="D282" s="20" t="s">
        <v>1670</v>
      </c>
      <c r="E282" s="20" t="s">
        <v>66</v>
      </c>
      <c r="F282" s="20" t="s">
        <v>89</v>
      </c>
      <c r="G282" s="20" t="s">
        <v>542</v>
      </c>
      <c r="H282" s="20" t="s">
        <v>1650</v>
      </c>
      <c r="I282" s="20" t="s">
        <v>1671</v>
      </c>
      <c r="J282" s="20" t="s">
        <v>97</v>
      </c>
      <c r="K282" s="20" t="s">
        <v>1672</v>
      </c>
      <c r="L282" s="20" t="s">
        <v>1673</v>
      </c>
      <c r="M282" s="21" t="s">
        <v>35</v>
      </c>
      <c r="N282" s="22"/>
      <c r="O282" s="22"/>
      <c r="P282" s="22"/>
      <c r="Q282" s="22"/>
    </row>
    <row r="283" customFormat="false" ht="34.5" hidden="false" customHeight="true" outlineLevel="0" collapsed="false">
      <c r="A283" s="20" t="s">
        <v>1674</v>
      </c>
      <c r="B283" s="20" t="s">
        <v>52</v>
      </c>
      <c r="C283" s="20" t="s">
        <v>922</v>
      </c>
      <c r="D283" s="20" t="s">
        <v>1675</v>
      </c>
      <c r="E283" s="20" t="s">
        <v>66</v>
      </c>
      <c r="F283" s="20" t="s">
        <v>76</v>
      </c>
      <c r="G283" s="20" t="s">
        <v>542</v>
      </c>
      <c r="H283" s="20" t="s">
        <v>1650</v>
      </c>
      <c r="I283" s="20" t="s">
        <v>1676</v>
      </c>
      <c r="J283" s="20" t="s">
        <v>97</v>
      </c>
      <c r="K283" s="20" t="s">
        <v>1677</v>
      </c>
      <c r="L283" s="20" t="s">
        <v>1678</v>
      </c>
      <c r="M283" s="21" t="s">
        <v>35</v>
      </c>
      <c r="N283" s="22"/>
      <c r="O283" s="22"/>
      <c r="P283" s="22"/>
      <c r="Q283" s="22"/>
    </row>
    <row r="284" customFormat="false" ht="34.5" hidden="false" customHeight="true" outlineLevel="0" collapsed="false">
      <c r="A284" s="20" t="s">
        <v>1679</v>
      </c>
      <c r="B284" s="20" t="s">
        <v>52</v>
      </c>
      <c r="C284" s="20" t="s">
        <v>922</v>
      </c>
      <c r="D284" s="20" t="s">
        <v>1680</v>
      </c>
      <c r="E284" s="20" t="s">
        <v>161</v>
      </c>
      <c r="F284" s="20" t="s">
        <v>89</v>
      </c>
      <c r="G284" s="20" t="s">
        <v>306</v>
      </c>
      <c r="H284" s="20" t="s">
        <v>1681</v>
      </c>
      <c r="I284" s="20" t="s">
        <v>1682</v>
      </c>
      <c r="J284" s="20" t="s">
        <v>97</v>
      </c>
      <c r="K284" s="20" t="s">
        <v>1683</v>
      </c>
      <c r="L284" s="20" t="s">
        <v>1684</v>
      </c>
      <c r="M284" s="21" t="s">
        <v>35</v>
      </c>
      <c r="N284" s="22"/>
      <c r="O284" s="22"/>
      <c r="P284" s="22"/>
      <c r="Q284" s="22"/>
    </row>
    <row r="285" customFormat="false" ht="34.5" hidden="false" customHeight="true" outlineLevel="0" collapsed="false">
      <c r="A285" s="20" t="s">
        <v>1685</v>
      </c>
      <c r="B285" s="20" t="s">
        <v>52</v>
      </c>
      <c r="C285" s="20" t="s">
        <v>922</v>
      </c>
      <c r="D285" s="20" t="s">
        <v>1686</v>
      </c>
      <c r="E285" s="20" t="s">
        <v>118</v>
      </c>
      <c r="F285" s="20" t="s">
        <v>119</v>
      </c>
      <c r="G285" s="20" t="s">
        <v>542</v>
      </c>
      <c r="H285" s="20" t="s">
        <v>1687</v>
      </c>
      <c r="I285" s="20" t="s">
        <v>1688</v>
      </c>
      <c r="J285" s="20" t="s">
        <v>1689</v>
      </c>
      <c r="K285" s="20" t="s">
        <v>1690</v>
      </c>
      <c r="L285" s="20" t="s">
        <v>1684</v>
      </c>
      <c r="M285" s="21" t="s">
        <v>35</v>
      </c>
      <c r="N285" s="22"/>
      <c r="O285" s="22"/>
      <c r="P285" s="22"/>
      <c r="Q285" s="22"/>
    </row>
    <row r="286" customFormat="false" ht="23.25" hidden="false" customHeight="true" outlineLevel="0" collapsed="false">
      <c r="A286" s="20" t="s">
        <v>1691</v>
      </c>
      <c r="B286" s="20" t="s">
        <v>52</v>
      </c>
      <c r="C286" s="20" t="s">
        <v>1692</v>
      </c>
      <c r="D286" s="20" t="s">
        <v>1693</v>
      </c>
      <c r="E286" s="20" t="s">
        <v>161</v>
      </c>
      <c r="F286" s="20" t="s">
        <v>67</v>
      </c>
      <c r="G286" s="20" t="s">
        <v>68</v>
      </c>
      <c r="H286" s="20" t="s">
        <v>97</v>
      </c>
      <c r="I286" s="20" t="s">
        <v>1694</v>
      </c>
      <c r="J286" s="20" t="s">
        <v>97</v>
      </c>
      <c r="K286" s="20" t="s">
        <v>1695</v>
      </c>
      <c r="L286" s="20" t="s">
        <v>1696</v>
      </c>
      <c r="M286" s="21" t="s">
        <v>35</v>
      </c>
      <c r="N286" s="22"/>
      <c r="O286" s="22"/>
      <c r="P286" s="22"/>
      <c r="Q286" s="22"/>
    </row>
    <row r="287" customFormat="false" ht="34.5" hidden="false" customHeight="true" outlineLevel="0" collapsed="false">
      <c r="A287" s="20" t="s">
        <v>1697</v>
      </c>
      <c r="B287" s="20" t="s">
        <v>52</v>
      </c>
      <c r="C287" s="20" t="s">
        <v>1692</v>
      </c>
      <c r="D287" s="20" t="s">
        <v>1698</v>
      </c>
      <c r="E287" s="20" t="s">
        <v>161</v>
      </c>
      <c r="F287" s="20" t="s">
        <v>89</v>
      </c>
      <c r="G287" s="20" t="s">
        <v>542</v>
      </c>
      <c r="H287" s="20" t="s">
        <v>1699</v>
      </c>
      <c r="I287" s="20" t="s">
        <v>1700</v>
      </c>
      <c r="J287" s="20" t="s">
        <v>97</v>
      </c>
      <c r="K287" s="20" t="s">
        <v>1701</v>
      </c>
      <c r="L287" s="20" t="s">
        <v>461</v>
      </c>
      <c r="M287" s="21" t="s">
        <v>32</v>
      </c>
      <c r="N287" s="22" t="s">
        <v>1702</v>
      </c>
      <c r="O287" s="22" t="s">
        <v>131</v>
      </c>
      <c r="P287" s="22" t="s">
        <v>132</v>
      </c>
      <c r="Q287" s="22"/>
    </row>
  </sheetData>
  <autoFilter ref="A1:Q287"/>
  <conditionalFormatting sqref="M2:M287">
    <cfRule type="cellIs" priority="2" operator="equal" aboveAverage="0" equalAverage="0" bottom="0" percent="0" rank="0" text="" dxfId="8">
      <formula>"Pass"</formula>
    </cfRule>
    <cfRule type="cellIs" priority="3" operator="equal" aboveAverage="0" equalAverage="0" bottom="0" percent="0" rank="0" text="" dxfId="9">
      <formula>"Fail"</formula>
    </cfRule>
    <cfRule type="cellIs" priority="4" operator="equal" aboveAverage="0" equalAverage="0" bottom="0" percent="0" rank="0" text="" dxfId="10">
      <formula>"Blocked"</formula>
    </cfRule>
  </conditionalFormatting>
  <dataValidations count="1">
    <dataValidation allowBlank="false" errorStyle="stop" operator="between" showDropDown="false" showErrorMessage="false" showInputMessage="false" sqref="M2:M287" type="list">
      <formula1>"Not Run,Pass,Fail,Blocked,N/A"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2026-10-20T19:29:02Z</dcterms:created>
  <dc:creator>openpyxl</dc:creator>
  <dc:description/>
  <dc:language>en-US</dc:language>
  <cp:lastModifiedBy/>
  <dcterms:modified xsi:type="dcterms:W3CDTF">2026-10-20T19:35:15Z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